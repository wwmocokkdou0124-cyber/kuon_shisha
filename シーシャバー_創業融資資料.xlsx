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計画検討表" sheetId="1" state="visible" r:id="rId1"/>
    <sheet name="人件費検討" sheetId="2" state="visible" r:id="rId2"/>
    <sheet name="月次損益計画書" sheetId="3" state="visible" r:id="rId3"/>
    <sheet name="年次損益計画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000000"/>
      <sz val="10"/>
    </font>
    <font>
      <color rgb="00000000"/>
      <sz val="9"/>
    </font>
    <font>
      <color rgb="00666666"/>
      <sz val="9"/>
    </font>
    <font>
      <b val="1"/>
      <color rgb="00FFFFFF"/>
      <sz val="11"/>
    </font>
    <font>
      <b val="1"/>
      <color rgb="00FFFFFF"/>
      <sz val="9"/>
    </font>
    <font>
      <color rgb="00000000"/>
      <sz val="10"/>
    </font>
    <font>
      <b val="1"/>
      <color rgb="00000000"/>
      <sz val="9"/>
    </font>
    <font>
      <color rgb="00FFFFFF"/>
      <sz val="9"/>
    </font>
    <font>
      <b val="1"/>
      <color rgb="00000000"/>
      <sz val="11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C000"/>
      </patternFill>
    </fill>
    <fill>
      <patternFill patternType="solid">
        <fgColor rgb="00FFE0B2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7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0" borderId="0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3" fontId="8" fillId="2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8" customWidth="1" min="4" max="4"/>
    <col width="6" customWidth="1" min="5" max="5"/>
    <col width="12" customWidth="1" min="6" max="6"/>
  </cols>
  <sheetData>
    <row r="1">
      <c r="A1" s="1" t="inlineStr">
        <is>
          <t>■ 売上計画検討表</t>
        </is>
      </c>
    </row>
    <row r="2">
      <c r="A2" s="2" t="inlineStr">
        <is>
          <t>【入力エリア】※黄色セルを入力</t>
        </is>
      </c>
    </row>
    <row r="3">
      <c r="A3" s="3" t="inlineStr">
        <is>
          <t>席数</t>
        </is>
      </c>
      <c r="B3" s="4" t="n">
        <v>15</v>
      </c>
      <c r="C3" s="3" t="inlineStr">
        <is>
          <t>平均客単価</t>
        </is>
      </c>
      <c r="D3" s="4" t="n">
        <v>3750</v>
      </c>
      <c r="E3" s="5" t="inlineStr">
        <is>
          <t>(円/名)</t>
        </is>
      </c>
    </row>
    <row r="4">
      <c r="A4" s="6" t="inlineStr">
        <is>
          <t>※売上高 ＝ 席数 × 客単価 × 回転数 × 日数</t>
        </is>
      </c>
    </row>
    <row r="6">
      <c r="A6" s="7" t="inlineStr">
        <is>
          <t>1月</t>
        </is>
      </c>
      <c r="D6" s="8" t="inlineStr">
        <is>
          <t>回転数</t>
        </is>
      </c>
      <c r="E6" s="8" t="inlineStr">
        <is>
          <t>日数</t>
        </is>
      </c>
      <c r="F6" s="8" t="inlineStr">
        <is>
          <t>売上高</t>
        </is>
      </c>
    </row>
    <row r="7">
      <c r="A7" s="9" t="inlineStr">
        <is>
          <t>平日</t>
        </is>
      </c>
      <c r="B7" s="10" t="inlineStr"/>
      <c r="D7" s="11" t="n">
        <v>0.62</v>
      </c>
      <c r="E7" s="12" t="n">
        <v>17</v>
      </c>
      <c r="F7" s="13">
        <f>$B$3*$D$3*D7*E7</f>
        <v/>
      </c>
    </row>
    <row r="8">
      <c r="A8" s="9" t="inlineStr">
        <is>
          <t>金曜日</t>
        </is>
      </c>
      <c r="B8" s="10" t="inlineStr"/>
      <c r="D8" s="11" t="n">
        <v>0.91</v>
      </c>
      <c r="E8" s="12" t="n">
        <v>4</v>
      </c>
      <c r="F8" s="13">
        <f>$B$3*$D$3*D8*E8</f>
        <v/>
      </c>
    </row>
    <row r="9">
      <c r="A9" s="9" t="inlineStr">
        <is>
          <t>土曜日</t>
        </is>
      </c>
      <c r="B9" s="10" t="inlineStr"/>
      <c r="D9" s="11" t="n">
        <v>0.71</v>
      </c>
      <c r="E9" s="12" t="n">
        <v>4</v>
      </c>
      <c r="F9" s="13">
        <f>$B$3*$D$3*D9*E9</f>
        <v/>
      </c>
    </row>
    <row r="10">
      <c r="A10" s="9" t="inlineStr">
        <is>
          <t>日祝</t>
        </is>
      </c>
      <c r="B10" s="10" t="inlineStr"/>
      <c r="D10" s="11" t="n">
        <v>0.53</v>
      </c>
      <c r="E10" s="12" t="n">
        <v>6</v>
      </c>
      <c r="F10" s="13">
        <f>$B$3*$D$3*D10*E10</f>
        <v/>
      </c>
    </row>
    <row r="11">
      <c r="A11" s="14" t="inlineStr">
        <is>
          <t>合計</t>
        </is>
      </c>
      <c r="B11" s="15" t="inlineStr"/>
      <c r="D11" s="15" t="inlineStr"/>
      <c r="E11" s="16">
        <f>SUM(E7,E8,E9,E10)</f>
        <v/>
      </c>
      <c r="F11" s="17">
        <f>SUM(F7,F8,F9,F10)</f>
        <v/>
      </c>
    </row>
    <row r="13">
      <c r="A13" s="7" t="inlineStr">
        <is>
          <t>2月</t>
        </is>
      </c>
      <c r="D13" s="8" t="inlineStr">
        <is>
          <t>回転数</t>
        </is>
      </c>
      <c r="E13" s="8" t="inlineStr">
        <is>
          <t>日数</t>
        </is>
      </c>
      <c r="F13" s="8" t="inlineStr">
        <is>
          <t>売上高</t>
        </is>
      </c>
    </row>
    <row r="14">
      <c r="A14" s="9" t="inlineStr">
        <is>
          <t>平日</t>
        </is>
      </c>
      <c r="B14" s="10" t="inlineStr"/>
      <c r="D14" s="11" t="n">
        <v>0.62</v>
      </c>
      <c r="E14" s="12" t="n">
        <v>15</v>
      </c>
      <c r="F14" s="13">
        <f>$B$3*$D$3*D14*E14</f>
        <v/>
      </c>
    </row>
    <row r="15">
      <c r="A15" s="9" t="inlineStr">
        <is>
          <t>金曜日</t>
        </is>
      </c>
      <c r="B15" s="10" t="inlineStr"/>
      <c r="D15" s="11" t="n">
        <v>0.91</v>
      </c>
      <c r="E15" s="12" t="n">
        <v>4</v>
      </c>
      <c r="F15" s="13">
        <f>$B$3*$D$3*D15*E15</f>
        <v/>
      </c>
    </row>
    <row r="16">
      <c r="A16" s="9" t="inlineStr">
        <is>
          <t>土曜日</t>
        </is>
      </c>
      <c r="B16" s="10" t="inlineStr"/>
      <c r="D16" s="11" t="n">
        <v>0.71</v>
      </c>
      <c r="E16" s="12" t="n">
        <v>4</v>
      </c>
      <c r="F16" s="13">
        <f>$B$3*$D$3*D16*E16</f>
        <v/>
      </c>
    </row>
    <row r="17">
      <c r="A17" s="9" t="inlineStr">
        <is>
          <t>日祝</t>
        </is>
      </c>
      <c r="B17" s="10" t="inlineStr"/>
      <c r="D17" s="11" t="n">
        <v>0.53</v>
      </c>
      <c r="E17" s="12" t="n">
        <v>5</v>
      </c>
      <c r="F17" s="13">
        <f>$B$3*$D$3*D17*E17</f>
        <v/>
      </c>
    </row>
    <row r="18">
      <c r="A18" s="14" t="inlineStr">
        <is>
          <t>合計</t>
        </is>
      </c>
      <c r="B18" s="15" t="inlineStr"/>
      <c r="D18" s="15" t="inlineStr"/>
      <c r="E18" s="16">
        <f>SUM(E14,E15,E16,E17)</f>
        <v/>
      </c>
      <c r="F18" s="17">
        <f>SUM(F14,F15,F16,F17)</f>
        <v/>
      </c>
    </row>
    <row r="20">
      <c r="A20" s="7" t="inlineStr">
        <is>
          <t>3月</t>
        </is>
      </c>
      <c r="D20" s="8" t="inlineStr">
        <is>
          <t>回転数</t>
        </is>
      </c>
      <c r="E20" s="8" t="inlineStr">
        <is>
          <t>日数</t>
        </is>
      </c>
      <c r="F20" s="8" t="inlineStr">
        <is>
          <t>売上高</t>
        </is>
      </c>
    </row>
    <row r="21">
      <c r="A21" s="9" t="inlineStr">
        <is>
          <t>平日</t>
        </is>
      </c>
      <c r="B21" s="10" t="inlineStr"/>
      <c r="D21" s="11" t="n">
        <v>0.62</v>
      </c>
      <c r="E21" s="12" t="n">
        <v>20</v>
      </c>
      <c r="F21" s="13">
        <f>$B$3*$D$3*D21*E21</f>
        <v/>
      </c>
    </row>
    <row r="22">
      <c r="A22" s="9" t="inlineStr">
        <is>
          <t>金曜日</t>
        </is>
      </c>
      <c r="B22" s="10" t="inlineStr"/>
      <c r="D22" s="11" t="n">
        <v>0.91</v>
      </c>
      <c r="E22" s="12" t="n">
        <v>5</v>
      </c>
      <c r="F22" s="13">
        <f>$B$3*$D$3*D22*E22</f>
        <v/>
      </c>
    </row>
    <row r="23">
      <c r="A23" s="9" t="inlineStr">
        <is>
          <t>土曜日</t>
        </is>
      </c>
      <c r="B23" s="10" t="inlineStr"/>
      <c r="D23" s="11" t="n">
        <v>0.71</v>
      </c>
      <c r="E23" s="12" t="n">
        <v>5</v>
      </c>
      <c r="F23" s="13">
        <f>$B$3*$D$3*D23*E23</f>
        <v/>
      </c>
    </row>
    <row r="24">
      <c r="A24" s="9" t="inlineStr">
        <is>
          <t>日祝</t>
        </is>
      </c>
      <c r="B24" s="10" t="inlineStr"/>
      <c r="D24" s="11" t="n">
        <v>0.53</v>
      </c>
      <c r="E24" s="12" t="n">
        <v>1</v>
      </c>
      <c r="F24" s="13">
        <f>$B$3*$D$3*D24*E24</f>
        <v/>
      </c>
    </row>
    <row r="25">
      <c r="A25" s="14" t="inlineStr">
        <is>
          <t>合計</t>
        </is>
      </c>
      <c r="B25" s="15" t="inlineStr"/>
      <c r="D25" s="15" t="inlineStr"/>
      <c r="E25" s="16">
        <f>SUM(E21,E22,E23,E24)</f>
        <v/>
      </c>
      <c r="F25" s="17">
        <f>SUM(F21,F22,F23,F24)</f>
        <v/>
      </c>
    </row>
    <row r="27">
      <c r="A27" s="7" t="inlineStr">
        <is>
          <t>4月</t>
        </is>
      </c>
      <c r="D27" s="8" t="inlineStr">
        <is>
          <t>回転数</t>
        </is>
      </c>
      <c r="E27" s="8" t="inlineStr">
        <is>
          <t>日数</t>
        </is>
      </c>
      <c r="F27" s="8" t="inlineStr">
        <is>
          <t>売上高</t>
        </is>
      </c>
    </row>
    <row r="28">
      <c r="A28" s="9" t="inlineStr">
        <is>
          <t>平日</t>
        </is>
      </c>
      <c r="B28" s="10" t="inlineStr"/>
      <c r="D28" s="11" t="n">
        <v>0.62</v>
      </c>
      <c r="E28" s="12" t="n">
        <v>20</v>
      </c>
      <c r="F28" s="13">
        <f>$B$3*$D$3*D28*E28</f>
        <v/>
      </c>
    </row>
    <row r="29">
      <c r="A29" s="9" t="inlineStr">
        <is>
          <t>金曜日</t>
        </is>
      </c>
      <c r="B29" s="10" t="inlineStr"/>
      <c r="D29" s="11" t="n">
        <v>0.91</v>
      </c>
      <c r="E29" s="12" t="n">
        <v>4</v>
      </c>
      <c r="F29" s="13">
        <f>$B$3*$D$3*D29*E29</f>
        <v/>
      </c>
    </row>
    <row r="30">
      <c r="A30" s="9" t="inlineStr">
        <is>
          <t>土曜日</t>
        </is>
      </c>
      <c r="B30" s="10" t="inlineStr"/>
      <c r="D30" s="11" t="n">
        <v>0.71</v>
      </c>
      <c r="E30" s="12" t="n">
        <v>4</v>
      </c>
      <c r="F30" s="13">
        <f>$B$3*$D$3*D30*E30</f>
        <v/>
      </c>
    </row>
    <row r="31">
      <c r="A31" s="9" t="inlineStr">
        <is>
          <t>日祝</t>
        </is>
      </c>
      <c r="B31" s="10" t="inlineStr"/>
      <c r="D31" s="11" t="n">
        <v>0.53</v>
      </c>
      <c r="E31" s="12" t="n">
        <v>2</v>
      </c>
      <c r="F31" s="13">
        <f>$B$3*$D$3*D31*E31</f>
        <v/>
      </c>
    </row>
    <row r="32">
      <c r="A32" s="14" t="inlineStr">
        <is>
          <t>合計</t>
        </is>
      </c>
      <c r="B32" s="15" t="inlineStr"/>
      <c r="D32" s="15" t="inlineStr"/>
      <c r="E32" s="16">
        <f>SUM(E28,E29,E30,E31)</f>
        <v/>
      </c>
      <c r="F32" s="17">
        <f>SUM(F28,F29,F30,F31)</f>
        <v/>
      </c>
    </row>
    <row r="34">
      <c r="A34" s="7" t="inlineStr">
        <is>
          <t>5月</t>
        </is>
      </c>
      <c r="D34" s="8" t="inlineStr">
        <is>
          <t>回転数</t>
        </is>
      </c>
      <c r="E34" s="8" t="inlineStr">
        <is>
          <t>日数</t>
        </is>
      </c>
      <c r="F34" s="8" t="inlineStr">
        <is>
          <t>売上高</t>
        </is>
      </c>
    </row>
    <row r="35">
      <c r="A35" s="9" t="inlineStr">
        <is>
          <t>平日</t>
        </is>
      </c>
      <c r="B35" s="10" t="inlineStr"/>
      <c r="D35" s="11" t="n">
        <v>0.62</v>
      </c>
      <c r="E35" s="12" t="n">
        <v>18</v>
      </c>
      <c r="F35" s="13">
        <f>$B$3*$D$3*D35*E35</f>
        <v/>
      </c>
    </row>
    <row r="36">
      <c r="A36" s="9" t="inlineStr">
        <is>
          <t>金曜日</t>
        </is>
      </c>
      <c r="B36" s="10" t="inlineStr"/>
      <c r="D36" s="11" t="n">
        <v>0.91</v>
      </c>
      <c r="E36" s="12" t="n">
        <v>4</v>
      </c>
      <c r="F36" s="13">
        <f>$B$3*$D$3*D36*E36</f>
        <v/>
      </c>
    </row>
    <row r="37">
      <c r="A37" s="9" t="inlineStr">
        <is>
          <t>土曜日</t>
        </is>
      </c>
      <c r="B37" s="10" t="inlineStr"/>
      <c r="D37" s="11" t="n">
        <v>0.71</v>
      </c>
      <c r="E37" s="12" t="n">
        <v>4</v>
      </c>
      <c r="F37" s="13">
        <f>$B$3*$D$3*D37*E37</f>
        <v/>
      </c>
    </row>
    <row r="38">
      <c r="A38" s="9" t="inlineStr">
        <is>
          <t>日祝</t>
        </is>
      </c>
      <c r="B38" s="10" t="inlineStr"/>
      <c r="D38" s="11" t="n">
        <v>0.53</v>
      </c>
      <c r="E38" s="12" t="n">
        <v>5</v>
      </c>
      <c r="F38" s="13">
        <f>$B$3*$D$3*D38*E38</f>
        <v/>
      </c>
    </row>
    <row r="39">
      <c r="A39" s="14" t="inlineStr">
        <is>
          <t>合計</t>
        </is>
      </c>
      <c r="B39" s="15" t="inlineStr"/>
      <c r="D39" s="15" t="inlineStr"/>
      <c r="E39" s="16">
        <f>SUM(E35,E36,E37,E38)</f>
        <v/>
      </c>
      <c r="F39" s="17">
        <f>SUM(F35,F36,F37,F38)</f>
        <v/>
      </c>
    </row>
    <row r="41">
      <c r="A41" s="7" t="inlineStr">
        <is>
          <t>6月</t>
        </is>
      </c>
      <c r="D41" s="8" t="inlineStr">
        <is>
          <t>回転数</t>
        </is>
      </c>
      <c r="E41" s="8" t="inlineStr">
        <is>
          <t>日数</t>
        </is>
      </c>
      <c r="F41" s="8" t="inlineStr">
        <is>
          <t>売上高</t>
        </is>
      </c>
    </row>
    <row r="42">
      <c r="A42" s="9" t="inlineStr">
        <is>
          <t>平日</t>
        </is>
      </c>
      <c r="B42" s="10" t="inlineStr"/>
      <c r="D42" s="11" t="n">
        <v>0.62</v>
      </c>
      <c r="E42" s="12" t="n">
        <v>21</v>
      </c>
      <c r="F42" s="13">
        <f>$B$3*$D$3*D42*E42</f>
        <v/>
      </c>
    </row>
    <row r="43">
      <c r="A43" s="9" t="inlineStr">
        <is>
          <t>金曜日</t>
        </is>
      </c>
      <c r="B43" s="10" t="inlineStr"/>
      <c r="D43" s="11" t="n">
        <v>0.91</v>
      </c>
      <c r="E43" s="12" t="n">
        <v>4</v>
      </c>
      <c r="F43" s="13">
        <f>$B$3*$D$3*D43*E43</f>
        <v/>
      </c>
    </row>
    <row r="44">
      <c r="A44" s="9" t="inlineStr">
        <is>
          <t>土曜日</t>
        </is>
      </c>
      <c r="B44" s="10" t="inlineStr"/>
      <c r="D44" s="11" t="n">
        <v>0.71</v>
      </c>
      <c r="E44" s="12" t="n">
        <v>4</v>
      </c>
      <c r="F44" s="13">
        <f>$B$3*$D$3*D44*E44</f>
        <v/>
      </c>
    </row>
    <row r="45">
      <c r="A45" s="9" t="inlineStr">
        <is>
          <t>日祝</t>
        </is>
      </c>
      <c r="B45" s="10" t="inlineStr"/>
      <c r="D45" s="11" t="n">
        <v>0.53</v>
      </c>
      <c r="E45" s="12" t="n">
        <v>1</v>
      </c>
      <c r="F45" s="13">
        <f>$B$3*$D$3*D45*E45</f>
        <v/>
      </c>
    </row>
    <row r="46">
      <c r="A46" s="14" t="inlineStr">
        <is>
          <t>合計</t>
        </is>
      </c>
      <c r="B46" s="15" t="inlineStr"/>
      <c r="D46" s="15" t="inlineStr"/>
      <c r="E46" s="16">
        <f>SUM(E42,E43,E44,E45)</f>
        <v/>
      </c>
      <c r="F46" s="17">
        <f>SUM(F42,F43,F44,F45)</f>
        <v/>
      </c>
    </row>
    <row r="48">
      <c r="A48" s="7" t="inlineStr">
        <is>
          <t>7月</t>
        </is>
      </c>
      <c r="D48" s="8" t="inlineStr">
        <is>
          <t>回転数</t>
        </is>
      </c>
      <c r="E48" s="8" t="inlineStr">
        <is>
          <t>日数</t>
        </is>
      </c>
      <c r="F48" s="8" t="inlineStr">
        <is>
          <t>売上高</t>
        </is>
      </c>
    </row>
    <row r="49">
      <c r="A49" s="9" t="inlineStr">
        <is>
          <t>平日</t>
        </is>
      </c>
      <c r="B49" s="10" t="inlineStr"/>
      <c r="D49" s="11" t="n">
        <v>0.62</v>
      </c>
      <c r="E49" s="12" t="n">
        <v>22</v>
      </c>
      <c r="F49" s="13">
        <f>$B$3*$D$3*D49*E49</f>
        <v/>
      </c>
    </row>
    <row r="50">
      <c r="A50" s="9" t="inlineStr">
        <is>
          <t>金曜日</t>
        </is>
      </c>
      <c r="B50" s="10" t="inlineStr"/>
      <c r="D50" s="11" t="n">
        <v>0.91</v>
      </c>
      <c r="E50" s="12" t="n">
        <v>4</v>
      </c>
      <c r="F50" s="13">
        <f>$B$3*$D$3*D50*E50</f>
        <v/>
      </c>
    </row>
    <row r="51">
      <c r="A51" s="9" t="inlineStr">
        <is>
          <t>土曜日</t>
        </is>
      </c>
      <c r="B51" s="10" t="inlineStr"/>
      <c r="D51" s="11" t="n">
        <v>0.71</v>
      </c>
      <c r="E51" s="12" t="n">
        <v>4</v>
      </c>
      <c r="F51" s="13">
        <f>$B$3*$D$3*D51*E51</f>
        <v/>
      </c>
    </row>
    <row r="52">
      <c r="A52" s="9" t="inlineStr">
        <is>
          <t>日祝</t>
        </is>
      </c>
      <c r="B52" s="10" t="inlineStr"/>
      <c r="D52" s="11" t="n">
        <v>0.53</v>
      </c>
      <c r="E52" s="12" t="n">
        <v>1</v>
      </c>
      <c r="F52" s="13">
        <f>$B$3*$D$3*D52*E52</f>
        <v/>
      </c>
    </row>
    <row r="53">
      <c r="A53" s="14" t="inlineStr">
        <is>
          <t>合計</t>
        </is>
      </c>
      <c r="B53" s="15" t="inlineStr"/>
      <c r="D53" s="15" t="inlineStr"/>
      <c r="E53" s="16">
        <f>SUM(E49,E50,E51,E52)</f>
        <v/>
      </c>
      <c r="F53" s="17">
        <f>SUM(F49,F50,F51,F52)</f>
        <v/>
      </c>
    </row>
    <row r="55">
      <c r="A55" s="7" t="inlineStr">
        <is>
          <t>8月</t>
        </is>
      </c>
      <c r="D55" s="8" t="inlineStr">
        <is>
          <t>回転数</t>
        </is>
      </c>
      <c r="E55" s="8" t="inlineStr">
        <is>
          <t>日数</t>
        </is>
      </c>
      <c r="F55" s="8" t="inlineStr">
        <is>
          <t>売上高</t>
        </is>
      </c>
    </row>
    <row r="56">
      <c r="A56" s="9" t="inlineStr">
        <is>
          <t>平日</t>
        </is>
      </c>
      <c r="B56" s="10" t="inlineStr"/>
      <c r="D56" s="11" t="n">
        <v>0.62</v>
      </c>
      <c r="E56" s="12" t="n">
        <v>21</v>
      </c>
      <c r="F56" s="13">
        <f>$B$3*$D$3*D56*E56</f>
        <v/>
      </c>
    </row>
    <row r="57">
      <c r="A57" s="9" t="inlineStr">
        <is>
          <t>金曜日</t>
        </is>
      </c>
      <c r="B57" s="10" t="inlineStr"/>
      <c r="D57" s="11" t="n">
        <v>0.91</v>
      </c>
      <c r="E57" s="12" t="n">
        <v>4</v>
      </c>
      <c r="F57" s="13">
        <f>$B$3*$D$3*D57*E57</f>
        <v/>
      </c>
    </row>
    <row r="58">
      <c r="A58" s="9" t="inlineStr">
        <is>
          <t>土曜日</t>
        </is>
      </c>
      <c r="B58" s="10" t="inlineStr"/>
      <c r="D58" s="11" t="n">
        <v>0.71</v>
      </c>
      <c r="E58" s="12" t="n">
        <v>4</v>
      </c>
      <c r="F58" s="13">
        <f>$B$3*$D$3*D58*E58</f>
        <v/>
      </c>
    </row>
    <row r="59">
      <c r="A59" s="9" t="inlineStr">
        <is>
          <t>日祝</t>
        </is>
      </c>
      <c r="B59" s="10" t="inlineStr"/>
      <c r="D59" s="11" t="n">
        <v>0.53</v>
      </c>
      <c r="E59" s="12" t="n">
        <v>2</v>
      </c>
      <c r="F59" s="13">
        <f>$B$3*$D$3*D59*E59</f>
        <v/>
      </c>
    </row>
    <row r="60">
      <c r="A60" s="14" t="inlineStr">
        <is>
          <t>合計</t>
        </is>
      </c>
      <c r="B60" s="15" t="inlineStr"/>
      <c r="D60" s="15" t="inlineStr"/>
      <c r="E60" s="16">
        <f>SUM(E56,E57,E58,E59)</f>
        <v/>
      </c>
      <c r="F60" s="17">
        <f>SUM(F56,F57,F58,F59)</f>
        <v/>
      </c>
    </row>
    <row r="62">
      <c r="A62" s="7" t="inlineStr">
        <is>
          <t>9月</t>
        </is>
      </c>
      <c r="D62" s="8" t="inlineStr">
        <is>
          <t>回転数</t>
        </is>
      </c>
      <c r="E62" s="8" t="inlineStr">
        <is>
          <t>日数</t>
        </is>
      </c>
      <c r="F62" s="8" t="inlineStr">
        <is>
          <t>売上高</t>
        </is>
      </c>
    </row>
    <row r="63">
      <c r="A63" s="9" t="inlineStr">
        <is>
          <t>平日</t>
        </is>
      </c>
      <c r="B63" s="10" t="inlineStr"/>
      <c r="D63" s="11" t="n">
        <v>0.62</v>
      </c>
      <c r="E63" s="12" t="n">
        <v>21</v>
      </c>
      <c r="F63" s="13">
        <f>$B$3*$D$3*D63*E63</f>
        <v/>
      </c>
    </row>
    <row r="64">
      <c r="A64" s="9" t="inlineStr">
        <is>
          <t>金曜日</t>
        </is>
      </c>
      <c r="B64" s="10" t="inlineStr"/>
      <c r="D64" s="11" t="n">
        <v>0.91</v>
      </c>
      <c r="E64" s="12" t="n">
        <v>4</v>
      </c>
      <c r="F64" s="13">
        <f>$B$3*$D$3*D64*E64</f>
        <v/>
      </c>
    </row>
    <row r="65">
      <c r="A65" s="9" t="inlineStr">
        <is>
          <t>土曜日</t>
        </is>
      </c>
      <c r="B65" s="10" t="inlineStr"/>
      <c r="D65" s="11" t="n">
        <v>0.71</v>
      </c>
      <c r="E65" s="12" t="n">
        <v>4</v>
      </c>
      <c r="F65" s="13">
        <f>$B$3*$D$3*D65*E65</f>
        <v/>
      </c>
    </row>
    <row r="66">
      <c r="A66" s="9" t="inlineStr">
        <is>
          <t>日祝</t>
        </is>
      </c>
      <c r="B66" s="10" t="inlineStr"/>
      <c r="D66" s="11" t="n">
        <v>0.53</v>
      </c>
      <c r="E66" s="12" t="n">
        <v>1</v>
      </c>
      <c r="F66" s="13">
        <f>$B$3*$D$3*D66*E66</f>
        <v/>
      </c>
    </row>
    <row r="67">
      <c r="A67" s="14" t="inlineStr">
        <is>
          <t>合計</t>
        </is>
      </c>
      <c r="B67" s="15" t="inlineStr"/>
      <c r="D67" s="15" t="inlineStr"/>
      <c r="E67" s="16">
        <f>SUM(E63,E64,E65,E66)</f>
        <v/>
      </c>
      <c r="F67" s="17">
        <f>SUM(F63,F64,F65,F66)</f>
        <v/>
      </c>
    </row>
    <row r="69">
      <c r="A69" s="7" t="inlineStr">
        <is>
          <t>10月</t>
        </is>
      </c>
      <c r="D69" s="8" t="inlineStr">
        <is>
          <t>回転数</t>
        </is>
      </c>
      <c r="E69" s="8" t="inlineStr">
        <is>
          <t>日数</t>
        </is>
      </c>
      <c r="F69" s="8" t="inlineStr">
        <is>
          <t>売上高</t>
        </is>
      </c>
    </row>
    <row r="70">
      <c r="A70" s="9" t="inlineStr">
        <is>
          <t>平日</t>
        </is>
      </c>
      <c r="B70" s="10" t="inlineStr"/>
      <c r="D70" s="11" t="n">
        <v>0.62</v>
      </c>
      <c r="E70" s="12" t="n">
        <v>22</v>
      </c>
      <c r="F70" s="13">
        <f>$B$3*$D$3*D70*E70</f>
        <v/>
      </c>
    </row>
    <row r="71">
      <c r="A71" s="9" t="inlineStr">
        <is>
          <t>金曜日</t>
        </is>
      </c>
      <c r="B71" s="10" t="inlineStr"/>
      <c r="D71" s="11" t="n">
        <v>0.91</v>
      </c>
      <c r="E71" s="12" t="n">
        <v>5</v>
      </c>
      <c r="F71" s="13">
        <f>$B$3*$D$3*D71*E71</f>
        <v/>
      </c>
    </row>
    <row r="72">
      <c r="A72" s="9" t="inlineStr">
        <is>
          <t>土曜日</t>
        </is>
      </c>
      <c r="B72" s="10" t="inlineStr"/>
      <c r="D72" s="11" t="n">
        <v>0.71</v>
      </c>
      <c r="E72" s="12" t="n">
        <v>4</v>
      </c>
      <c r="F72" s="13">
        <f>$B$3*$D$3*D72*E72</f>
        <v/>
      </c>
    </row>
    <row r="73">
      <c r="A73" s="9" t="inlineStr">
        <is>
          <t>日祝</t>
        </is>
      </c>
      <c r="B73" s="10" t="inlineStr"/>
      <c r="D73" s="11" t="n">
        <v>0.53</v>
      </c>
      <c r="E73" s="12" t="n">
        <v>0</v>
      </c>
      <c r="F73" s="13">
        <f>$B$3*$D$3*D73*E73</f>
        <v/>
      </c>
    </row>
    <row r="74">
      <c r="A74" s="14" t="inlineStr">
        <is>
          <t>合計</t>
        </is>
      </c>
      <c r="B74" s="15" t="inlineStr"/>
      <c r="D74" s="15" t="inlineStr"/>
      <c r="E74" s="16">
        <f>SUM(E70,E71,E72,E73)</f>
        <v/>
      </c>
      <c r="F74" s="17">
        <f>SUM(F70,F71,F72,F73)</f>
        <v/>
      </c>
    </row>
    <row r="76">
      <c r="A76" s="7" t="inlineStr">
        <is>
          <t>11月</t>
        </is>
      </c>
      <c r="D76" s="8" t="inlineStr">
        <is>
          <t>回転数</t>
        </is>
      </c>
      <c r="E76" s="8" t="inlineStr">
        <is>
          <t>日数</t>
        </is>
      </c>
      <c r="F76" s="8" t="inlineStr">
        <is>
          <t>売上高</t>
        </is>
      </c>
    </row>
    <row r="77">
      <c r="A77" s="9" t="inlineStr">
        <is>
          <t>平日</t>
        </is>
      </c>
      <c r="B77" s="10" t="inlineStr"/>
      <c r="D77" s="11" t="n">
        <v>0.62</v>
      </c>
      <c r="E77" s="12" t="n">
        <v>20</v>
      </c>
      <c r="F77" s="13">
        <f>$B$3*$D$3*D77*E77</f>
        <v/>
      </c>
    </row>
    <row r="78">
      <c r="A78" s="9" t="inlineStr">
        <is>
          <t>金曜日</t>
        </is>
      </c>
      <c r="B78" s="10" t="inlineStr"/>
      <c r="D78" s="11" t="n">
        <v>0.91</v>
      </c>
      <c r="E78" s="12" t="n">
        <v>4</v>
      </c>
      <c r="F78" s="13">
        <f>$B$3*$D$3*D78*E78</f>
        <v/>
      </c>
    </row>
    <row r="79">
      <c r="A79" s="9" t="inlineStr">
        <is>
          <t>土曜日</t>
        </is>
      </c>
      <c r="B79" s="10" t="inlineStr"/>
      <c r="D79" s="11" t="n">
        <v>0.71</v>
      </c>
      <c r="E79" s="12" t="n">
        <v>4</v>
      </c>
      <c r="F79" s="13">
        <f>$B$3*$D$3*D79*E79</f>
        <v/>
      </c>
    </row>
    <row r="80">
      <c r="A80" s="9" t="inlineStr">
        <is>
          <t>日祝</t>
        </is>
      </c>
      <c r="B80" s="10" t="inlineStr"/>
      <c r="D80" s="11" t="n">
        <v>0.53</v>
      </c>
      <c r="E80" s="12" t="n">
        <v>2</v>
      </c>
      <c r="F80" s="13">
        <f>$B$3*$D$3*D80*E80</f>
        <v/>
      </c>
    </row>
    <row r="81">
      <c r="A81" s="14" t="inlineStr">
        <is>
          <t>合計</t>
        </is>
      </c>
      <c r="B81" s="15" t="inlineStr"/>
      <c r="D81" s="15" t="inlineStr"/>
      <c r="E81" s="16">
        <f>SUM(E77,E78,E79,E80)</f>
        <v/>
      </c>
      <c r="F81" s="17">
        <f>SUM(F77,F78,F79,F80)</f>
        <v/>
      </c>
    </row>
    <row r="83">
      <c r="A83" s="7" t="inlineStr">
        <is>
          <t>12月</t>
        </is>
      </c>
      <c r="D83" s="8" t="inlineStr">
        <is>
          <t>回転数</t>
        </is>
      </c>
      <c r="E83" s="8" t="inlineStr">
        <is>
          <t>日数</t>
        </is>
      </c>
      <c r="F83" s="8" t="inlineStr">
        <is>
          <t>売上高</t>
        </is>
      </c>
    </row>
    <row r="84">
      <c r="A84" s="9" t="inlineStr">
        <is>
          <t>平日</t>
        </is>
      </c>
      <c r="B84" s="10" t="inlineStr"/>
      <c r="D84" s="11" t="n">
        <v>0.62</v>
      </c>
      <c r="E84" s="12" t="n">
        <v>20</v>
      </c>
      <c r="F84" s="13">
        <f>$B$3*$D$3*D84*E84</f>
        <v/>
      </c>
    </row>
    <row r="85">
      <c r="A85" s="9" t="inlineStr">
        <is>
          <t>金曜日</t>
        </is>
      </c>
      <c r="B85" s="10" t="inlineStr"/>
      <c r="D85" s="11" t="n">
        <v>0.91</v>
      </c>
      <c r="E85" s="12" t="n">
        <v>4</v>
      </c>
      <c r="F85" s="13">
        <f>$B$3*$D$3*D85*E85</f>
        <v/>
      </c>
    </row>
    <row r="86">
      <c r="A86" s="9" t="inlineStr">
        <is>
          <t>土曜日</t>
        </is>
      </c>
      <c r="B86" s="10" t="inlineStr"/>
      <c r="D86" s="11" t="n">
        <v>0.71</v>
      </c>
      <c r="E86" s="12" t="n">
        <v>4</v>
      </c>
      <c r="F86" s="13">
        <f>$B$3*$D$3*D86*E86</f>
        <v/>
      </c>
    </row>
    <row r="87">
      <c r="A87" s="9" t="inlineStr">
        <is>
          <t>日祝</t>
        </is>
      </c>
      <c r="B87" s="10" t="inlineStr"/>
      <c r="D87" s="11" t="n">
        <v>0.53</v>
      </c>
      <c r="E87" s="12" t="n">
        <v>3</v>
      </c>
      <c r="F87" s="13">
        <f>$B$3*$D$3*D87*E87</f>
        <v/>
      </c>
    </row>
    <row r="88">
      <c r="A88" s="14" t="inlineStr">
        <is>
          <t>合計</t>
        </is>
      </c>
      <c r="B88" s="15" t="inlineStr"/>
      <c r="D88" s="15" t="inlineStr"/>
      <c r="E88" s="16">
        <f>SUM(E84,E85,E86,E87)</f>
        <v/>
      </c>
      <c r="F88" s="17">
        <f>SUM(F84,F85,F86,F87)</f>
        <v/>
      </c>
    </row>
  </sheetData>
  <mergeCells count="75">
    <mergeCell ref="A41:C41"/>
    <mergeCell ref="B16:C16"/>
    <mergeCell ref="B7:C7"/>
    <mergeCell ref="B25:C25"/>
    <mergeCell ref="B72:C72"/>
    <mergeCell ref="B59:C59"/>
    <mergeCell ref="B81:C81"/>
    <mergeCell ref="B46:C46"/>
    <mergeCell ref="B22:C22"/>
    <mergeCell ref="A27:C27"/>
    <mergeCell ref="B66:C66"/>
    <mergeCell ref="B31:C31"/>
    <mergeCell ref="A55:C55"/>
    <mergeCell ref="B18:C18"/>
    <mergeCell ref="B56:C56"/>
    <mergeCell ref="B71:C71"/>
    <mergeCell ref="B43:C43"/>
    <mergeCell ref="B58:C58"/>
    <mergeCell ref="B39:C39"/>
    <mergeCell ref="B77:C77"/>
    <mergeCell ref="B52:C52"/>
    <mergeCell ref="B21:C21"/>
    <mergeCell ref="B70:C70"/>
    <mergeCell ref="A76:C76"/>
    <mergeCell ref="B86:C86"/>
    <mergeCell ref="B11:C11"/>
    <mergeCell ref="B67:C67"/>
    <mergeCell ref="B42:C42"/>
    <mergeCell ref="B23:C23"/>
    <mergeCell ref="B14:C14"/>
    <mergeCell ref="B60:C60"/>
    <mergeCell ref="A62:C62"/>
    <mergeCell ref="B17:C17"/>
    <mergeCell ref="B57:C57"/>
    <mergeCell ref="B8:C8"/>
    <mergeCell ref="A20:C20"/>
    <mergeCell ref="B53:C53"/>
    <mergeCell ref="B88:C88"/>
    <mergeCell ref="B73:C73"/>
    <mergeCell ref="B87:C87"/>
    <mergeCell ref="B38:C38"/>
    <mergeCell ref="A2:B2"/>
    <mergeCell ref="A13:C13"/>
    <mergeCell ref="B29:C29"/>
    <mergeCell ref="B44:C44"/>
    <mergeCell ref="B78:C78"/>
    <mergeCell ref="A1:P1"/>
    <mergeCell ref="B37:C37"/>
    <mergeCell ref="B10:C10"/>
    <mergeCell ref="B28:C28"/>
    <mergeCell ref="B84:C84"/>
    <mergeCell ref="A34:C34"/>
    <mergeCell ref="B9:C9"/>
    <mergeCell ref="A83:C83"/>
    <mergeCell ref="A48:C48"/>
    <mergeCell ref="B49:C49"/>
    <mergeCell ref="B65:C65"/>
    <mergeCell ref="A4:B4"/>
    <mergeCell ref="B74:C74"/>
    <mergeCell ref="B24:C24"/>
    <mergeCell ref="B30:C30"/>
    <mergeCell ref="B64:C64"/>
    <mergeCell ref="B15:C15"/>
    <mergeCell ref="B51:C51"/>
    <mergeCell ref="B80:C80"/>
    <mergeCell ref="A6:C6"/>
    <mergeCell ref="B45:C45"/>
    <mergeCell ref="B85:C85"/>
    <mergeCell ref="B36:C36"/>
    <mergeCell ref="B32:C32"/>
    <mergeCell ref="B50:C50"/>
    <mergeCell ref="B63:C63"/>
    <mergeCell ref="A69:C69"/>
    <mergeCell ref="B79:C79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12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8" customWidth="1" min="16" max="16"/>
  </cols>
  <sheetData>
    <row r="1">
      <c r="A1" s="1" t="inlineStr">
        <is>
          <t>■ 人件費検討</t>
        </is>
      </c>
    </row>
    <row r="2">
      <c r="A2" s="2" t="inlineStr">
        <is>
          <t>【シフト検討表】　営業時間：17時〜29時（12時間）　深夜割増：22時〜 ×1.25</t>
        </is>
      </c>
    </row>
    <row r="3">
      <c r="A3" s="8" t="inlineStr">
        <is>
          <t>スタッフ</t>
        </is>
      </c>
      <c r="B3" s="8" t="inlineStr">
        <is>
          <t>時給</t>
        </is>
      </c>
      <c r="C3" s="8" t="inlineStr">
        <is>
          <t>金額/日</t>
        </is>
      </c>
      <c r="D3" s="18" t="inlineStr">
        <is>
          <t>17時</t>
        </is>
      </c>
      <c r="E3" s="18" t="inlineStr">
        <is>
          <t>18時</t>
        </is>
      </c>
      <c r="F3" s="18" t="inlineStr">
        <is>
          <t>19時</t>
        </is>
      </c>
      <c r="G3" s="18" t="inlineStr">
        <is>
          <t>20時</t>
        </is>
      </c>
      <c r="H3" s="18" t="inlineStr">
        <is>
          <t>21時</t>
        </is>
      </c>
      <c r="I3" s="18" t="inlineStr">
        <is>
          <t>22時</t>
        </is>
      </c>
      <c r="J3" s="18" t="inlineStr">
        <is>
          <t>23時</t>
        </is>
      </c>
      <c r="K3" s="18" t="inlineStr">
        <is>
          <t>24時</t>
        </is>
      </c>
      <c r="L3" s="18" t="inlineStr">
        <is>
          <t>25時</t>
        </is>
      </c>
      <c r="M3" s="18" t="inlineStr">
        <is>
          <t>26時</t>
        </is>
      </c>
      <c r="N3" s="18" t="inlineStr">
        <is>
          <t>27時</t>
        </is>
      </c>
      <c r="O3" s="18" t="inlineStr">
        <is>
          <t>28時</t>
        </is>
      </c>
      <c r="P3" s="18" t="inlineStr">
        <is>
          <t>29時</t>
        </is>
      </c>
      <c r="Q3" s="8" t="inlineStr">
        <is>
          <t>合計(h)</t>
        </is>
      </c>
    </row>
    <row r="4">
      <c r="A4" s="19" t="inlineStr">
        <is>
          <t>▼ 繁忙期（金・土）</t>
        </is>
      </c>
    </row>
    <row r="5">
      <c r="A5" s="9" t="inlineStr">
        <is>
          <t>A（オーナー）</t>
        </is>
      </c>
      <c r="B5" s="9" t="inlineStr">
        <is>
          <t>―</t>
        </is>
      </c>
      <c r="C5" s="20" t="inlineStr">
        <is>
          <t>―</t>
        </is>
      </c>
      <c r="D5" s="21" t="inlineStr">
        <is>
          <t>●</t>
        </is>
      </c>
      <c r="E5" s="21" t="inlineStr">
        <is>
          <t>●</t>
        </is>
      </c>
      <c r="F5" s="21" t="inlineStr">
        <is>
          <t>●</t>
        </is>
      </c>
      <c r="G5" s="21" t="inlineStr">
        <is>
          <t>●</t>
        </is>
      </c>
      <c r="H5" s="21" t="inlineStr">
        <is>
          <t>●</t>
        </is>
      </c>
      <c r="I5" s="21" t="inlineStr">
        <is>
          <t>●</t>
        </is>
      </c>
      <c r="J5" s="22" t="inlineStr"/>
      <c r="K5" s="22" t="inlineStr"/>
      <c r="L5" s="22" t="inlineStr"/>
      <c r="M5" s="22" t="inlineStr"/>
      <c r="N5" s="22" t="inlineStr"/>
      <c r="O5" s="22" t="inlineStr"/>
      <c r="P5" s="3" t="n">
        <v>6</v>
      </c>
    </row>
    <row r="6">
      <c r="A6" s="9" t="inlineStr">
        <is>
          <t>B（バイト）</t>
        </is>
      </c>
      <c r="B6" s="9" t="n">
        <v>1200</v>
      </c>
      <c r="C6" s="13" t="n">
        <v>7500</v>
      </c>
      <c r="D6" s="21" t="inlineStr">
        <is>
          <t>●</t>
        </is>
      </c>
      <c r="E6" s="21" t="inlineStr">
        <is>
          <t>●</t>
        </is>
      </c>
      <c r="F6" s="21" t="inlineStr">
        <is>
          <t>●</t>
        </is>
      </c>
      <c r="G6" s="21" t="inlineStr">
        <is>
          <t>●</t>
        </is>
      </c>
      <c r="H6" s="21" t="inlineStr">
        <is>
          <t>●</t>
        </is>
      </c>
      <c r="I6" s="21" t="inlineStr">
        <is>
          <t>●</t>
        </is>
      </c>
      <c r="J6" s="22" t="inlineStr"/>
      <c r="K6" s="22" t="inlineStr"/>
      <c r="L6" s="22" t="inlineStr"/>
      <c r="M6" s="22" t="inlineStr"/>
      <c r="N6" s="22" t="inlineStr"/>
      <c r="O6" s="22" t="inlineStr"/>
      <c r="P6" s="3" t="n">
        <v>6</v>
      </c>
    </row>
    <row r="7">
      <c r="A7" s="9" t="inlineStr">
        <is>
          <t>C（バイト）</t>
        </is>
      </c>
      <c r="B7" s="9" t="n">
        <v>1200</v>
      </c>
      <c r="C7" s="13" t="n">
        <v>9000</v>
      </c>
      <c r="D7" s="22" t="inlineStr"/>
      <c r="E7" s="22" t="inlineStr"/>
      <c r="F7" s="22" t="inlineStr"/>
      <c r="G7" s="22" t="inlineStr"/>
      <c r="H7" s="22" t="inlineStr"/>
      <c r="I7" s="22" t="inlineStr"/>
      <c r="J7" s="21" t="inlineStr">
        <is>
          <t>●</t>
        </is>
      </c>
      <c r="K7" s="21" t="inlineStr">
        <is>
          <t>●</t>
        </is>
      </c>
      <c r="L7" s="21" t="inlineStr">
        <is>
          <t>●</t>
        </is>
      </c>
      <c r="M7" s="21" t="inlineStr">
        <is>
          <t>●</t>
        </is>
      </c>
      <c r="N7" s="21" t="inlineStr">
        <is>
          <t>●</t>
        </is>
      </c>
      <c r="O7" s="21" t="inlineStr">
        <is>
          <t>●</t>
        </is>
      </c>
      <c r="P7" s="3" t="n">
        <v>6</v>
      </c>
    </row>
    <row r="8">
      <c r="A8" s="9" t="inlineStr">
        <is>
          <t>D（バイト）</t>
        </is>
      </c>
      <c r="B8" s="9" t="n">
        <v>1200</v>
      </c>
      <c r="C8" s="13" t="n">
        <v>9000</v>
      </c>
      <c r="D8" s="22" t="inlineStr"/>
      <c r="E8" s="22" t="inlineStr"/>
      <c r="F8" s="22" t="inlineStr"/>
      <c r="G8" s="22" t="inlineStr"/>
      <c r="H8" s="22" t="inlineStr"/>
      <c r="I8" s="22" t="inlineStr"/>
      <c r="J8" s="21" t="inlineStr">
        <is>
          <t>●</t>
        </is>
      </c>
      <c r="K8" s="21" t="inlineStr">
        <is>
          <t>●</t>
        </is>
      </c>
      <c r="L8" s="21" t="inlineStr">
        <is>
          <t>●</t>
        </is>
      </c>
      <c r="M8" s="21" t="inlineStr">
        <is>
          <t>●</t>
        </is>
      </c>
      <c r="N8" s="21" t="inlineStr">
        <is>
          <t>●</t>
        </is>
      </c>
      <c r="O8" s="21" t="inlineStr">
        <is>
          <t>●</t>
        </is>
      </c>
      <c r="P8" s="3" t="n">
        <v>6</v>
      </c>
    </row>
    <row r="9">
      <c r="A9" s="14" t="inlineStr">
        <is>
          <t>計</t>
        </is>
      </c>
      <c r="B9" s="15" t="inlineStr"/>
      <c r="C9" s="17" t="n">
        <v>25500</v>
      </c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</row>
    <row r="11">
      <c r="A11" s="23" t="inlineStr">
        <is>
          <t>▼ 通常期（月〜木・日）</t>
        </is>
      </c>
    </row>
    <row r="12">
      <c r="A12" s="9" t="inlineStr">
        <is>
          <t>A（オーナー）</t>
        </is>
      </c>
      <c r="B12" s="9" t="inlineStr">
        <is>
          <t>―</t>
        </is>
      </c>
      <c r="C12" s="20" t="inlineStr">
        <is>
          <t>―</t>
        </is>
      </c>
      <c r="D12" s="24" t="inlineStr">
        <is>
          <t>●</t>
        </is>
      </c>
      <c r="E12" s="24" t="inlineStr">
        <is>
          <t>●</t>
        </is>
      </c>
      <c r="F12" s="24" t="inlineStr">
        <is>
          <t>●</t>
        </is>
      </c>
      <c r="G12" s="24" t="inlineStr">
        <is>
          <t>●</t>
        </is>
      </c>
      <c r="H12" s="24" t="inlineStr">
        <is>
          <t>●</t>
        </is>
      </c>
      <c r="I12" s="24" t="inlineStr">
        <is>
          <t>●</t>
        </is>
      </c>
      <c r="J12" s="22" t="inlineStr"/>
      <c r="K12" s="22" t="inlineStr"/>
      <c r="L12" s="22" t="inlineStr"/>
      <c r="M12" s="22" t="inlineStr"/>
      <c r="N12" s="22" t="inlineStr"/>
      <c r="O12" s="22" t="inlineStr"/>
      <c r="P12" s="3" t="n">
        <v>6</v>
      </c>
    </row>
    <row r="13">
      <c r="A13" s="9" t="inlineStr">
        <is>
          <t>B（バイト）</t>
        </is>
      </c>
      <c r="B13" s="9" t="n">
        <v>1200</v>
      </c>
      <c r="C13" s="13" t="n">
        <v>7500</v>
      </c>
      <c r="D13" s="24" t="inlineStr">
        <is>
          <t>●</t>
        </is>
      </c>
      <c r="E13" s="24" t="inlineStr">
        <is>
          <t>●</t>
        </is>
      </c>
      <c r="F13" s="24" t="inlineStr">
        <is>
          <t>●</t>
        </is>
      </c>
      <c r="G13" s="24" t="inlineStr">
        <is>
          <t>●</t>
        </is>
      </c>
      <c r="H13" s="24" t="inlineStr">
        <is>
          <t>●</t>
        </is>
      </c>
      <c r="I13" s="24" t="inlineStr">
        <is>
          <t>●</t>
        </is>
      </c>
      <c r="J13" s="22" t="inlineStr"/>
      <c r="K13" s="22" t="inlineStr"/>
      <c r="L13" s="22" t="inlineStr"/>
      <c r="M13" s="22" t="inlineStr"/>
      <c r="N13" s="22" t="inlineStr"/>
      <c r="O13" s="22" t="inlineStr"/>
      <c r="P13" s="3" t="n">
        <v>6</v>
      </c>
    </row>
    <row r="14">
      <c r="A14" s="9" t="inlineStr">
        <is>
          <t>C（バイト）</t>
        </is>
      </c>
      <c r="B14" s="9" t="n">
        <v>1200</v>
      </c>
      <c r="C14" s="13" t="n">
        <v>9000</v>
      </c>
      <c r="D14" s="22" t="inlineStr"/>
      <c r="E14" s="22" t="inlineStr"/>
      <c r="F14" s="22" t="inlineStr"/>
      <c r="G14" s="22" t="inlineStr"/>
      <c r="H14" s="22" t="inlineStr"/>
      <c r="I14" s="22" t="inlineStr"/>
      <c r="J14" s="24" t="inlineStr">
        <is>
          <t>●</t>
        </is>
      </c>
      <c r="K14" s="24" t="inlineStr">
        <is>
          <t>●</t>
        </is>
      </c>
      <c r="L14" s="24" t="inlineStr">
        <is>
          <t>●</t>
        </is>
      </c>
      <c r="M14" s="24" t="inlineStr">
        <is>
          <t>●</t>
        </is>
      </c>
      <c r="N14" s="24" t="inlineStr">
        <is>
          <t>●</t>
        </is>
      </c>
      <c r="O14" s="24" t="inlineStr">
        <is>
          <t>●</t>
        </is>
      </c>
      <c r="P14" s="3" t="n">
        <v>6</v>
      </c>
    </row>
    <row r="15">
      <c r="A15" s="9" t="inlineStr">
        <is>
          <t>D（バイト）</t>
        </is>
      </c>
      <c r="B15" s="9" t="n">
        <v>1200</v>
      </c>
      <c r="C15" s="20" t="inlineStr">
        <is>
          <t>―</t>
        </is>
      </c>
      <c r="D15" s="22" t="inlineStr"/>
      <c r="E15" s="22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3" t="n">
        <v>0</v>
      </c>
    </row>
    <row r="16">
      <c r="A16" s="14" t="inlineStr">
        <is>
          <t>計</t>
        </is>
      </c>
      <c r="B16" s="15" t="inlineStr"/>
      <c r="C16" s="17" t="n">
        <v>16500</v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</row>
    <row r="19">
      <c r="A19" s="25" t="inlineStr">
        <is>
          <t>【月次人件費集計】</t>
        </is>
      </c>
    </row>
    <row r="20">
      <c r="A20" s="8" t="inlineStr">
        <is>
          <t>月</t>
        </is>
      </c>
      <c r="B20" s="8" t="inlineStr">
        <is>
          <t>区分</t>
        </is>
      </c>
      <c r="C20" s="8" t="inlineStr">
        <is>
          <t>給与額/日</t>
        </is>
      </c>
      <c r="D20" s="8" t="inlineStr">
        <is>
          <t>日数</t>
        </is>
      </c>
      <c r="E20" s="8" t="inlineStr">
        <is>
          <t>給与総額</t>
        </is>
      </c>
    </row>
    <row r="21">
      <c r="A21" s="3" t="inlineStr">
        <is>
          <t>1月</t>
        </is>
      </c>
      <c r="B21" s="9" t="inlineStr">
        <is>
          <t>平日</t>
        </is>
      </c>
      <c r="C21" s="26" t="n">
        <v>16500</v>
      </c>
      <c r="D21" s="12" t="n">
        <v>17</v>
      </c>
      <c r="E21" s="13" t="n">
        <v>280500</v>
      </c>
    </row>
    <row r="22">
      <c r="A22" s="27" t="inlineStr"/>
      <c r="B22" s="9" t="inlineStr">
        <is>
          <t>金曜</t>
        </is>
      </c>
      <c r="C22" s="26" t="n">
        <v>25500</v>
      </c>
      <c r="D22" s="12" t="n">
        <v>4</v>
      </c>
      <c r="E22" s="13" t="n">
        <v>102000</v>
      </c>
    </row>
    <row r="23">
      <c r="A23" s="27" t="inlineStr"/>
      <c r="B23" s="9" t="inlineStr">
        <is>
          <t>土曜</t>
        </is>
      </c>
      <c r="C23" s="26" t="n">
        <v>25500</v>
      </c>
      <c r="D23" s="12" t="n">
        <v>4</v>
      </c>
      <c r="E23" s="13" t="n">
        <v>102000</v>
      </c>
    </row>
    <row r="24">
      <c r="A24" s="27" t="inlineStr"/>
      <c r="B24" s="9" t="inlineStr">
        <is>
          <t>日祝</t>
        </is>
      </c>
      <c r="C24" s="26" t="n">
        <v>16500</v>
      </c>
      <c r="D24" s="12" t="n">
        <v>6</v>
      </c>
      <c r="E24" s="13" t="n">
        <v>99000</v>
      </c>
    </row>
    <row r="25">
      <c r="A25" s="14" t="inlineStr">
        <is>
          <t>1月合計</t>
        </is>
      </c>
      <c r="B25" s="15" t="inlineStr"/>
      <c r="E25" s="17">
        <f>SUM(E21,E22,E23,E24)</f>
        <v/>
      </c>
    </row>
    <row r="26">
      <c r="A26" s="3" t="inlineStr">
        <is>
          <t>2月</t>
        </is>
      </c>
      <c r="B26" s="9" t="inlineStr">
        <is>
          <t>平日</t>
        </is>
      </c>
      <c r="C26" s="26" t="n">
        <v>16500</v>
      </c>
      <c r="D26" s="12" t="n">
        <v>15</v>
      </c>
      <c r="E26" s="13" t="n">
        <v>247500</v>
      </c>
    </row>
    <row r="27">
      <c r="A27" s="27" t="inlineStr"/>
      <c r="B27" s="9" t="inlineStr">
        <is>
          <t>金曜</t>
        </is>
      </c>
      <c r="C27" s="26" t="n">
        <v>25500</v>
      </c>
      <c r="D27" s="12" t="n">
        <v>4</v>
      </c>
      <c r="E27" s="13" t="n">
        <v>102000</v>
      </c>
    </row>
    <row r="28">
      <c r="A28" s="27" t="inlineStr"/>
      <c r="B28" s="9" t="inlineStr">
        <is>
          <t>土曜</t>
        </is>
      </c>
      <c r="C28" s="26" t="n">
        <v>25500</v>
      </c>
      <c r="D28" s="12" t="n">
        <v>4</v>
      </c>
      <c r="E28" s="13" t="n">
        <v>102000</v>
      </c>
    </row>
    <row r="29">
      <c r="A29" s="27" t="inlineStr"/>
      <c r="B29" s="9" t="inlineStr">
        <is>
          <t>日祝</t>
        </is>
      </c>
      <c r="C29" s="26" t="n">
        <v>16500</v>
      </c>
      <c r="D29" s="12" t="n">
        <v>5</v>
      </c>
      <c r="E29" s="13" t="n">
        <v>82500</v>
      </c>
    </row>
    <row r="30">
      <c r="A30" s="14" t="inlineStr">
        <is>
          <t>2月合計</t>
        </is>
      </c>
      <c r="B30" s="15" t="inlineStr"/>
      <c r="E30" s="17">
        <f>SUM(E26,E27,E28,E29)</f>
        <v/>
      </c>
    </row>
    <row r="31">
      <c r="A31" s="3" t="inlineStr">
        <is>
          <t>3月</t>
        </is>
      </c>
      <c r="B31" s="9" t="inlineStr">
        <is>
          <t>平日</t>
        </is>
      </c>
      <c r="C31" s="26" t="n">
        <v>16500</v>
      </c>
      <c r="D31" s="12" t="n">
        <v>20</v>
      </c>
      <c r="E31" s="13" t="n">
        <v>330000</v>
      </c>
    </row>
    <row r="32">
      <c r="A32" s="27" t="inlineStr"/>
      <c r="B32" s="9" t="inlineStr">
        <is>
          <t>金曜</t>
        </is>
      </c>
      <c r="C32" s="26" t="n">
        <v>25500</v>
      </c>
      <c r="D32" s="12" t="n">
        <v>5</v>
      </c>
      <c r="E32" s="13" t="n">
        <v>127500</v>
      </c>
    </row>
    <row r="33">
      <c r="A33" s="27" t="inlineStr"/>
      <c r="B33" s="9" t="inlineStr">
        <is>
          <t>土曜</t>
        </is>
      </c>
      <c r="C33" s="26" t="n">
        <v>25500</v>
      </c>
      <c r="D33" s="12" t="n">
        <v>5</v>
      </c>
      <c r="E33" s="13" t="n">
        <v>127500</v>
      </c>
    </row>
    <row r="34">
      <c r="A34" s="27" t="inlineStr"/>
      <c r="B34" s="9" t="inlineStr">
        <is>
          <t>日祝</t>
        </is>
      </c>
      <c r="C34" s="26" t="n">
        <v>16500</v>
      </c>
      <c r="D34" s="12" t="n">
        <v>1</v>
      </c>
      <c r="E34" s="13" t="n">
        <v>16500</v>
      </c>
    </row>
    <row r="35">
      <c r="A35" s="14" t="inlineStr">
        <is>
          <t>3月合計</t>
        </is>
      </c>
      <c r="B35" s="15" t="inlineStr"/>
      <c r="E35" s="17">
        <f>SUM(E31,E32,E33,E34)</f>
        <v/>
      </c>
    </row>
    <row r="36">
      <c r="A36" s="3" t="inlineStr">
        <is>
          <t>4月</t>
        </is>
      </c>
      <c r="B36" s="9" t="inlineStr">
        <is>
          <t>平日</t>
        </is>
      </c>
      <c r="C36" s="26" t="n">
        <v>16500</v>
      </c>
      <c r="D36" s="12" t="n">
        <v>20</v>
      </c>
      <c r="E36" s="13" t="n">
        <v>330000</v>
      </c>
    </row>
    <row r="37">
      <c r="A37" s="27" t="inlineStr"/>
      <c r="B37" s="9" t="inlineStr">
        <is>
          <t>金曜</t>
        </is>
      </c>
      <c r="C37" s="26" t="n">
        <v>25500</v>
      </c>
      <c r="D37" s="12" t="n">
        <v>4</v>
      </c>
      <c r="E37" s="13" t="n">
        <v>102000</v>
      </c>
    </row>
    <row r="38">
      <c r="A38" s="27" t="inlineStr"/>
      <c r="B38" s="9" t="inlineStr">
        <is>
          <t>土曜</t>
        </is>
      </c>
      <c r="C38" s="26" t="n">
        <v>25500</v>
      </c>
      <c r="D38" s="12" t="n">
        <v>4</v>
      </c>
      <c r="E38" s="13" t="n">
        <v>102000</v>
      </c>
    </row>
    <row r="39">
      <c r="A39" s="27" t="inlineStr"/>
      <c r="B39" s="9" t="inlineStr">
        <is>
          <t>日祝</t>
        </is>
      </c>
      <c r="C39" s="26" t="n">
        <v>16500</v>
      </c>
      <c r="D39" s="12" t="n">
        <v>2</v>
      </c>
      <c r="E39" s="13" t="n">
        <v>33000</v>
      </c>
    </row>
    <row r="40">
      <c r="A40" s="14" t="inlineStr">
        <is>
          <t>4月合計</t>
        </is>
      </c>
      <c r="B40" s="15" t="inlineStr"/>
      <c r="E40" s="17">
        <f>SUM(E36,E37,E38,E39)</f>
        <v/>
      </c>
    </row>
    <row r="41">
      <c r="A41" s="3" t="inlineStr">
        <is>
          <t>5月</t>
        </is>
      </c>
      <c r="B41" s="9" t="inlineStr">
        <is>
          <t>平日</t>
        </is>
      </c>
      <c r="C41" s="26" t="n">
        <v>16500</v>
      </c>
      <c r="D41" s="12" t="n">
        <v>18</v>
      </c>
      <c r="E41" s="13" t="n">
        <v>297000</v>
      </c>
    </row>
    <row r="42">
      <c r="A42" s="27" t="inlineStr"/>
      <c r="B42" s="9" t="inlineStr">
        <is>
          <t>金曜</t>
        </is>
      </c>
      <c r="C42" s="26" t="n">
        <v>25500</v>
      </c>
      <c r="D42" s="12" t="n">
        <v>4</v>
      </c>
      <c r="E42" s="13" t="n">
        <v>102000</v>
      </c>
    </row>
    <row r="43">
      <c r="A43" s="27" t="inlineStr"/>
      <c r="B43" s="9" t="inlineStr">
        <is>
          <t>土曜</t>
        </is>
      </c>
      <c r="C43" s="26" t="n">
        <v>25500</v>
      </c>
      <c r="D43" s="12" t="n">
        <v>4</v>
      </c>
      <c r="E43" s="13" t="n">
        <v>102000</v>
      </c>
    </row>
    <row r="44">
      <c r="A44" s="27" t="inlineStr"/>
      <c r="B44" s="9" t="inlineStr">
        <is>
          <t>日祝</t>
        </is>
      </c>
      <c r="C44" s="26" t="n">
        <v>16500</v>
      </c>
      <c r="D44" s="12" t="n">
        <v>5</v>
      </c>
      <c r="E44" s="13" t="n">
        <v>82500</v>
      </c>
    </row>
    <row r="45">
      <c r="A45" s="14" t="inlineStr">
        <is>
          <t>5月合計</t>
        </is>
      </c>
      <c r="B45" s="15" t="inlineStr"/>
      <c r="E45" s="17">
        <f>SUM(E41,E42,E43,E44)</f>
        <v/>
      </c>
    </row>
    <row r="46">
      <c r="A46" s="3" t="inlineStr">
        <is>
          <t>6月</t>
        </is>
      </c>
      <c r="B46" s="9" t="inlineStr">
        <is>
          <t>平日</t>
        </is>
      </c>
      <c r="C46" s="26" t="n">
        <v>16500</v>
      </c>
      <c r="D46" s="12" t="n">
        <v>21</v>
      </c>
      <c r="E46" s="13" t="n">
        <v>346500</v>
      </c>
    </row>
    <row r="47">
      <c r="A47" s="27" t="inlineStr"/>
      <c r="B47" s="9" t="inlineStr">
        <is>
          <t>金曜</t>
        </is>
      </c>
      <c r="C47" s="26" t="n">
        <v>25500</v>
      </c>
      <c r="D47" s="12" t="n">
        <v>4</v>
      </c>
      <c r="E47" s="13" t="n">
        <v>102000</v>
      </c>
    </row>
    <row r="48">
      <c r="A48" s="27" t="inlineStr"/>
      <c r="B48" s="9" t="inlineStr">
        <is>
          <t>土曜</t>
        </is>
      </c>
      <c r="C48" s="26" t="n">
        <v>25500</v>
      </c>
      <c r="D48" s="12" t="n">
        <v>4</v>
      </c>
      <c r="E48" s="13" t="n">
        <v>102000</v>
      </c>
    </row>
    <row r="49">
      <c r="A49" s="27" t="inlineStr"/>
      <c r="B49" s="9" t="inlineStr">
        <is>
          <t>日祝</t>
        </is>
      </c>
      <c r="C49" s="26" t="n">
        <v>16500</v>
      </c>
      <c r="D49" s="12" t="n">
        <v>1</v>
      </c>
      <c r="E49" s="13" t="n">
        <v>16500</v>
      </c>
    </row>
    <row r="50">
      <c r="A50" s="14" t="inlineStr">
        <is>
          <t>6月合計</t>
        </is>
      </c>
      <c r="B50" s="15" t="inlineStr"/>
      <c r="E50" s="17">
        <f>SUM(E46,E47,E48,E49)</f>
        <v/>
      </c>
    </row>
    <row r="51">
      <c r="A51" s="3" t="inlineStr">
        <is>
          <t>7月</t>
        </is>
      </c>
      <c r="B51" s="9" t="inlineStr">
        <is>
          <t>平日</t>
        </is>
      </c>
      <c r="C51" s="26" t="n">
        <v>16500</v>
      </c>
      <c r="D51" s="12" t="n">
        <v>22</v>
      </c>
      <c r="E51" s="13" t="n">
        <v>363000</v>
      </c>
    </row>
    <row r="52">
      <c r="A52" s="27" t="inlineStr"/>
      <c r="B52" s="9" t="inlineStr">
        <is>
          <t>金曜</t>
        </is>
      </c>
      <c r="C52" s="26" t="n">
        <v>25500</v>
      </c>
      <c r="D52" s="12" t="n">
        <v>4</v>
      </c>
      <c r="E52" s="13" t="n">
        <v>102000</v>
      </c>
    </row>
    <row r="53">
      <c r="A53" s="27" t="inlineStr"/>
      <c r="B53" s="9" t="inlineStr">
        <is>
          <t>土曜</t>
        </is>
      </c>
      <c r="C53" s="26" t="n">
        <v>25500</v>
      </c>
      <c r="D53" s="12" t="n">
        <v>4</v>
      </c>
      <c r="E53" s="13" t="n">
        <v>102000</v>
      </c>
    </row>
    <row r="54">
      <c r="A54" s="27" t="inlineStr"/>
      <c r="B54" s="9" t="inlineStr">
        <is>
          <t>日祝</t>
        </is>
      </c>
      <c r="C54" s="26" t="n">
        <v>16500</v>
      </c>
      <c r="D54" s="12" t="n">
        <v>1</v>
      </c>
      <c r="E54" s="13" t="n">
        <v>16500</v>
      </c>
    </row>
    <row r="55">
      <c r="A55" s="14" t="inlineStr">
        <is>
          <t>7月合計</t>
        </is>
      </c>
      <c r="B55" s="15" t="inlineStr"/>
      <c r="E55" s="17">
        <f>SUM(E51,E52,E53,E54)</f>
        <v/>
      </c>
    </row>
    <row r="56">
      <c r="A56" s="3" t="inlineStr">
        <is>
          <t>8月</t>
        </is>
      </c>
      <c r="B56" s="9" t="inlineStr">
        <is>
          <t>平日</t>
        </is>
      </c>
      <c r="C56" s="26" t="n">
        <v>16500</v>
      </c>
      <c r="D56" s="12" t="n">
        <v>21</v>
      </c>
      <c r="E56" s="13" t="n">
        <v>346500</v>
      </c>
    </row>
    <row r="57">
      <c r="A57" s="27" t="inlineStr"/>
      <c r="B57" s="9" t="inlineStr">
        <is>
          <t>金曜</t>
        </is>
      </c>
      <c r="C57" s="26" t="n">
        <v>25500</v>
      </c>
      <c r="D57" s="12" t="n">
        <v>4</v>
      </c>
      <c r="E57" s="13" t="n">
        <v>102000</v>
      </c>
    </row>
    <row r="58">
      <c r="A58" s="27" t="inlineStr"/>
      <c r="B58" s="9" t="inlineStr">
        <is>
          <t>土曜</t>
        </is>
      </c>
      <c r="C58" s="26" t="n">
        <v>25500</v>
      </c>
      <c r="D58" s="12" t="n">
        <v>4</v>
      </c>
      <c r="E58" s="13" t="n">
        <v>102000</v>
      </c>
    </row>
    <row r="59">
      <c r="A59" s="27" t="inlineStr"/>
      <c r="B59" s="9" t="inlineStr">
        <is>
          <t>日祝</t>
        </is>
      </c>
      <c r="C59" s="26" t="n">
        <v>16500</v>
      </c>
      <c r="D59" s="12" t="n">
        <v>2</v>
      </c>
      <c r="E59" s="13" t="n">
        <v>33000</v>
      </c>
    </row>
    <row r="60">
      <c r="A60" s="14" t="inlineStr">
        <is>
          <t>8月合計</t>
        </is>
      </c>
      <c r="B60" s="15" t="inlineStr"/>
      <c r="E60" s="17">
        <f>SUM(E56,E57,E58,E59)</f>
        <v/>
      </c>
    </row>
    <row r="61">
      <c r="A61" s="3" t="inlineStr">
        <is>
          <t>9月</t>
        </is>
      </c>
      <c r="B61" s="9" t="inlineStr">
        <is>
          <t>平日</t>
        </is>
      </c>
      <c r="C61" s="26" t="n">
        <v>16500</v>
      </c>
      <c r="D61" s="12" t="n">
        <v>21</v>
      </c>
      <c r="E61" s="13" t="n">
        <v>346500</v>
      </c>
    </row>
    <row r="62">
      <c r="A62" s="27" t="inlineStr"/>
      <c r="B62" s="9" t="inlineStr">
        <is>
          <t>金曜</t>
        </is>
      </c>
      <c r="C62" s="26" t="n">
        <v>25500</v>
      </c>
      <c r="D62" s="12" t="n">
        <v>4</v>
      </c>
      <c r="E62" s="13" t="n">
        <v>102000</v>
      </c>
    </row>
    <row r="63">
      <c r="A63" s="27" t="inlineStr"/>
      <c r="B63" s="9" t="inlineStr">
        <is>
          <t>土曜</t>
        </is>
      </c>
      <c r="C63" s="26" t="n">
        <v>25500</v>
      </c>
      <c r="D63" s="12" t="n">
        <v>4</v>
      </c>
      <c r="E63" s="13" t="n">
        <v>102000</v>
      </c>
    </row>
    <row r="64">
      <c r="A64" s="27" t="inlineStr"/>
      <c r="B64" s="9" t="inlineStr">
        <is>
          <t>日祝</t>
        </is>
      </c>
      <c r="C64" s="26" t="n">
        <v>16500</v>
      </c>
      <c r="D64" s="12" t="n">
        <v>1</v>
      </c>
      <c r="E64" s="13" t="n">
        <v>16500</v>
      </c>
    </row>
    <row r="65">
      <c r="A65" s="14" t="inlineStr">
        <is>
          <t>9月合計</t>
        </is>
      </c>
      <c r="B65" s="15" t="inlineStr"/>
      <c r="E65" s="17">
        <f>SUM(E61,E62,E63,E64)</f>
        <v/>
      </c>
    </row>
    <row r="66">
      <c r="A66" s="3" t="inlineStr">
        <is>
          <t>10月</t>
        </is>
      </c>
      <c r="B66" s="9" t="inlineStr">
        <is>
          <t>平日</t>
        </is>
      </c>
      <c r="C66" s="26" t="n">
        <v>16500</v>
      </c>
      <c r="D66" s="12" t="n">
        <v>22</v>
      </c>
      <c r="E66" s="13" t="n">
        <v>363000</v>
      </c>
    </row>
    <row r="67">
      <c r="A67" s="27" t="inlineStr"/>
      <c r="B67" s="9" t="inlineStr">
        <is>
          <t>金曜</t>
        </is>
      </c>
      <c r="C67" s="26" t="n">
        <v>25500</v>
      </c>
      <c r="D67" s="12" t="n">
        <v>5</v>
      </c>
      <c r="E67" s="13" t="n">
        <v>127500</v>
      </c>
    </row>
    <row r="68">
      <c r="A68" s="27" t="inlineStr"/>
      <c r="B68" s="9" t="inlineStr">
        <is>
          <t>土曜</t>
        </is>
      </c>
      <c r="C68" s="26" t="n">
        <v>25500</v>
      </c>
      <c r="D68" s="12" t="n">
        <v>4</v>
      </c>
      <c r="E68" s="13" t="n">
        <v>102000</v>
      </c>
    </row>
    <row r="69">
      <c r="A69" s="27" t="inlineStr"/>
      <c r="B69" s="9" t="inlineStr">
        <is>
          <t>日祝</t>
        </is>
      </c>
      <c r="C69" s="26" t="n">
        <v>16500</v>
      </c>
      <c r="D69" s="12" t="n">
        <v>0</v>
      </c>
      <c r="E69" s="13" t="n">
        <v>0</v>
      </c>
    </row>
    <row r="70">
      <c r="A70" s="14" t="inlineStr">
        <is>
          <t>10月合計</t>
        </is>
      </c>
      <c r="B70" s="15" t="inlineStr"/>
      <c r="E70" s="17">
        <f>SUM(E66,E67,E68,E69)</f>
        <v/>
      </c>
    </row>
    <row r="71">
      <c r="A71" s="3" t="inlineStr">
        <is>
          <t>11月</t>
        </is>
      </c>
      <c r="B71" s="9" t="inlineStr">
        <is>
          <t>平日</t>
        </is>
      </c>
      <c r="C71" s="26" t="n">
        <v>16500</v>
      </c>
      <c r="D71" s="12" t="n">
        <v>20</v>
      </c>
      <c r="E71" s="13" t="n">
        <v>330000</v>
      </c>
    </row>
    <row r="72">
      <c r="A72" s="27" t="inlineStr"/>
      <c r="B72" s="9" t="inlineStr">
        <is>
          <t>金曜</t>
        </is>
      </c>
      <c r="C72" s="26" t="n">
        <v>25500</v>
      </c>
      <c r="D72" s="12" t="n">
        <v>4</v>
      </c>
      <c r="E72" s="13" t="n">
        <v>102000</v>
      </c>
    </row>
    <row r="73">
      <c r="A73" s="27" t="inlineStr"/>
      <c r="B73" s="9" t="inlineStr">
        <is>
          <t>土曜</t>
        </is>
      </c>
      <c r="C73" s="26" t="n">
        <v>25500</v>
      </c>
      <c r="D73" s="12" t="n">
        <v>4</v>
      </c>
      <c r="E73" s="13" t="n">
        <v>102000</v>
      </c>
    </row>
    <row r="74">
      <c r="A74" s="27" t="inlineStr"/>
      <c r="B74" s="9" t="inlineStr">
        <is>
          <t>日祝</t>
        </is>
      </c>
      <c r="C74" s="26" t="n">
        <v>16500</v>
      </c>
      <c r="D74" s="12" t="n">
        <v>2</v>
      </c>
      <c r="E74" s="13" t="n">
        <v>33000</v>
      </c>
    </row>
    <row r="75">
      <c r="A75" s="14" t="inlineStr">
        <is>
          <t>11月合計</t>
        </is>
      </c>
      <c r="B75" s="15" t="inlineStr"/>
      <c r="E75" s="17">
        <f>SUM(E71,E72,E73,E74)</f>
        <v/>
      </c>
    </row>
    <row r="76">
      <c r="A76" s="3" t="inlineStr">
        <is>
          <t>12月</t>
        </is>
      </c>
      <c r="B76" s="9" t="inlineStr">
        <is>
          <t>平日</t>
        </is>
      </c>
      <c r="C76" s="26" t="n">
        <v>16500</v>
      </c>
      <c r="D76" s="12" t="n">
        <v>20</v>
      </c>
      <c r="E76" s="13" t="n">
        <v>330000</v>
      </c>
    </row>
    <row r="77">
      <c r="A77" s="27" t="inlineStr"/>
      <c r="B77" s="9" t="inlineStr">
        <is>
          <t>金曜</t>
        </is>
      </c>
      <c r="C77" s="26" t="n">
        <v>25500</v>
      </c>
      <c r="D77" s="12" t="n">
        <v>4</v>
      </c>
      <c r="E77" s="13" t="n">
        <v>102000</v>
      </c>
    </row>
    <row r="78">
      <c r="A78" s="27" t="inlineStr"/>
      <c r="B78" s="9" t="inlineStr">
        <is>
          <t>土曜</t>
        </is>
      </c>
      <c r="C78" s="26" t="n">
        <v>25500</v>
      </c>
      <c r="D78" s="12" t="n">
        <v>4</v>
      </c>
      <c r="E78" s="13" t="n">
        <v>102000</v>
      </c>
    </row>
    <row r="79">
      <c r="A79" s="27" t="inlineStr"/>
      <c r="B79" s="9" t="inlineStr">
        <is>
          <t>日祝</t>
        </is>
      </c>
      <c r="C79" s="26" t="n">
        <v>16500</v>
      </c>
      <c r="D79" s="12" t="n">
        <v>3</v>
      </c>
      <c r="E79" s="13" t="n">
        <v>49500</v>
      </c>
    </row>
    <row r="80">
      <c r="A80" s="14" t="inlineStr">
        <is>
          <t>12月合計</t>
        </is>
      </c>
      <c r="B80" s="15" t="inlineStr"/>
      <c r="E80" s="17">
        <f>SUM(E76,E77,E78,E79)</f>
        <v/>
      </c>
    </row>
  </sheetData>
  <mergeCells count="17">
    <mergeCell ref="B55:D55"/>
    <mergeCell ref="B80:D80"/>
    <mergeCell ref="B60:D60"/>
    <mergeCell ref="B45:D45"/>
    <mergeCell ref="A4:N4"/>
    <mergeCell ref="B75:D75"/>
    <mergeCell ref="A2:N2"/>
    <mergeCell ref="B25:D25"/>
    <mergeCell ref="B35:D35"/>
    <mergeCell ref="B40:D40"/>
    <mergeCell ref="B50:D50"/>
    <mergeCell ref="B70:D70"/>
    <mergeCell ref="A11:N11"/>
    <mergeCell ref="B30:D30"/>
    <mergeCell ref="B65:D65"/>
    <mergeCell ref="A19:G19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■ 月次損益計画書（開業後1年）</t>
        </is>
      </c>
    </row>
    <row r="2">
      <c r="M2" s="28" t="inlineStr">
        <is>
          <t>（単位／円）</t>
        </is>
      </c>
    </row>
    <row r="3">
      <c r="A3" s="8" t="inlineStr">
        <is>
          <t>項目</t>
        </is>
      </c>
      <c r="B3" s="8" t="inlineStr">
        <is>
          <t>区分</t>
        </is>
      </c>
      <c r="C3" s="8" t="inlineStr">
        <is>
          <t>1月</t>
        </is>
      </c>
      <c r="D3" s="8" t="inlineStr">
        <is>
          <t>2月</t>
        </is>
      </c>
      <c r="E3" s="8" t="inlineStr">
        <is>
          <t>3月</t>
        </is>
      </c>
      <c r="F3" s="8" t="inlineStr">
        <is>
          <t>4月</t>
        </is>
      </c>
      <c r="G3" s="8" t="inlineStr">
        <is>
          <t>5月</t>
        </is>
      </c>
      <c r="H3" s="8" t="inlineStr">
        <is>
          <t>6月</t>
        </is>
      </c>
      <c r="I3" s="8" t="inlineStr">
        <is>
          <t>7月</t>
        </is>
      </c>
      <c r="J3" s="8" t="inlineStr">
        <is>
          <t>8月</t>
        </is>
      </c>
      <c r="K3" s="8" t="inlineStr">
        <is>
          <t>9月</t>
        </is>
      </c>
      <c r="L3" s="8" t="inlineStr">
        <is>
          <t>10月</t>
        </is>
      </c>
      <c r="M3" s="8" t="inlineStr">
        <is>
          <t>11月</t>
        </is>
      </c>
      <c r="N3" s="8" t="inlineStr">
        <is>
          <t>12月</t>
        </is>
      </c>
      <c r="O3" s="8" t="inlineStr">
        <is>
          <t>合計</t>
        </is>
      </c>
    </row>
    <row r="4">
      <c r="A4" s="29" t="inlineStr">
        <is>
          <t xml:space="preserve">　シーシャ売上</t>
        </is>
      </c>
      <c r="B4" s="22" t="inlineStr"/>
      <c r="C4" s="30" t="n">
        <v>1000000</v>
      </c>
      <c r="D4" s="30" t="n">
        <v>1000000</v>
      </c>
      <c r="E4" s="30" t="n">
        <v>1300000</v>
      </c>
      <c r="F4" s="30" t="n">
        <v>1300000</v>
      </c>
      <c r="G4" s="30" t="n">
        <v>1400000</v>
      </c>
      <c r="H4" s="30" t="n">
        <v>1400000</v>
      </c>
      <c r="I4" s="30" t="n">
        <v>1500000</v>
      </c>
      <c r="J4" s="30" t="n">
        <v>1500000</v>
      </c>
      <c r="K4" s="30" t="n">
        <v>1500000</v>
      </c>
      <c r="L4" s="30" t="n">
        <v>1600000</v>
      </c>
      <c r="M4" s="30" t="n">
        <v>1600000</v>
      </c>
      <c r="N4" s="30" t="n">
        <v>1700000</v>
      </c>
      <c r="O4" s="31" t="n">
        <v>16800000</v>
      </c>
    </row>
    <row r="5">
      <c r="A5" s="29" t="inlineStr">
        <is>
          <t xml:space="preserve">　ドリンク売上</t>
        </is>
      </c>
      <c r="B5" s="22" t="inlineStr"/>
      <c r="C5" s="30" t="n">
        <v>300000</v>
      </c>
      <c r="D5" s="30" t="n">
        <v>300000</v>
      </c>
      <c r="E5" s="30" t="n">
        <v>390000</v>
      </c>
      <c r="F5" s="30" t="n">
        <v>390000</v>
      </c>
      <c r="G5" s="30" t="n">
        <v>420000</v>
      </c>
      <c r="H5" s="30" t="n">
        <v>420000</v>
      </c>
      <c r="I5" s="30" t="n">
        <v>450000</v>
      </c>
      <c r="J5" s="30" t="n">
        <v>450000</v>
      </c>
      <c r="K5" s="30" t="n">
        <v>450000</v>
      </c>
      <c r="L5" s="30" t="n">
        <v>480000</v>
      </c>
      <c r="M5" s="30" t="n">
        <v>480000</v>
      </c>
      <c r="N5" s="30" t="n">
        <v>510000</v>
      </c>
      <c r="O5" s="31" t="n">
        <v>5040000</v>
      </c>
    </row>
    <row r="6">
      <c r="A6" s="32" t="inlineStr">
        <is>
          <t>売上合計</t>
        </is>
      </c>
      <c r="B6" s="33" t="inlineStr">
        <is>
          <t>A</t>
        </is>
      </c>
      <c r="C6" s="34" t="n">
        <v>1300000</v>
      </c>
      <c r="D6" s="34" t="n">
        <v>1300000</v>
      </c>
      <c r="E6" s="34" t="n">
        <v>1690000</v>
      </c>
      <c r="F6" s="34" t="n">
        <v>1690000</v>
      </c>
      <c r="G6" s="34" t="n">
        <v>1820000</v>
      </c>
      <c r="H6" s="34" t="n">
        <v>1820000</v>
      </c>
      <c r="I6" s="34" t="n">
        <v>1950000</v>
      </c>
      <c r="J6" s="34" t="n">
        <v>1950000</v>
      </c>
      <c r="K6" s="34" t="n">
        <v>1950000</v>
      </c>
      <c r="L6" s="34" t="n">
        <v>2080000</v>
      </c>
      <c r="M6" s="34" t="n">
        <v>2080000</v>
      </c>
      <c r="N6" s="34" t="n">
        <v>2210000</v>
      </c>
      <c r="O6" s="34" t="n">
        <v>21840000</v>
      </c>
    </row>
    <row r="7">
      <c r="A7" s="29" t="inlineStr">
        <is>
          <t xml:space="preserve">　シーシャ原価</t>
        </is>
      </c>
      <c r="B7" s="22" t="inlineStr">
        <is>
          <t>原価30%</t>
        </is>
      </c>
      <c r="C7" s="30" t="n">
        <v>300000</v>
      </c>
      <c r="D7" s="30" t="n">
        <v>300000</v>
      </c>
      <c r="E7" s="30" t="n">
        <v>390000</v>
      </c>
      <c r="F7" s="30" t="n">
        <v>390000</v>
      </c>
      <c r="G7" s="30" t="n">
        <v>420000</v>
      </c>
      <c r="H7" s="30" t="n">
        <v>420000</v>
      </c>
      <c r="I7" s="30" t="n">
        <v>450000</v>
      </c>
      <c r="J7" s="30" t="n">
        <v>450000</v>
      </c>
      <c r="K7" s="30" t="n">
        <v>450000</v>
      </c>
      <c r="L7" s="30" t="n">
        <v>480000</v>
      </c>
      <c r="M7" s="30" t="n">
        <v>480000</v>
      </c>
      <c r="N7" s="30" t="n">
        <v>510000</v>
      </c>
      <c r="O7" s="31" t="n">
        <v>5040000</v>
      </c>
    </row>
    <row r="8">
      <c r="A8" s="29" t="inlineStr">
        <is>
          <t xml:space="preserve">　ドリンク原価</t>
        </is>
      </c>
      <c r="B8" s="22" t="inlineStr">
        <is>
          <t>原価20%</t>
        </is>
      </c>
      <c r="C8" s="30" t="n">
        <v>60000</v>
      </c>
      <c r="D8" s="30" t="n">
        <v>60000</v>
      </c>
      <c r="E8" s="30" t="n">
        <v>78000</v>
      </c>
      <c r="F8" s="30" t="n">
        <v>78000</v>
      </c>
      <c r="G8" s="30" t="n">
        <v>84000</v>
      </c>
      <c r="H8" s="30" t="n">
        <v>84000</v>
      </c>
      <c r="I8" s="30" t="n">
        <v>90000</v>
      </c>
      <c r="J8" s="30" t="n">
        <v>90000</v>
      </c>
      <c r="K8" s="30" t="n">
        <v>90000</v>
      </c>
      <c r="L8" s="30" t="n">
        <v>96000</v>
      </c>
      <c r="M8" s="30" t="n">
        <v>96000</v>
      </c>
      <c r="N8" s="30" t="n">
        <v>102000</v>
      </c>
      <c r="O8" s="31" t="n">
        <v>1008000</v>
      </c>
    </row>
    <row r="9">
      <c r="A9" s="35" t="inlineStr">
        <is>
          <t>売上原価合計</t>
        </is>
      </c>
      <c r="B9" s="36" t="inlineStr">
        <is>
          <t>B</t>
        </is>
      </c>
      <c r="C9" s="37" t="n">
        <v>360000</v>
      </c>
      <c r="D9" s="37" t="n">
        <v>360000</v>
      </c>
      <c r="E9" s="37" t="n">
        <v>468000</v>
      </c>
      <c r="F9" s="37" t="n">
        <v>468000</v>
      </c>
      <c r="G9" s="37" t="n">
        <v>504000</v>
      </c>
      <c r="H9" s="37" t="n">
        <v>504000</v>
      </c>
      <c r="I9" s="37" t="n">
        <v>540000</v>
      </c>
      <c r="J9" s="37" t="n">
        <v>540000</v>
      </c>
      <c r="K9" s="37" t="n">
        <v>540000</v>
      </c>
      <c r="L9" s="37" t="n">
        <v>576000</v>
      </c>
      <c r="M9" s="37" t="n">
        <v>576000</v>
      </c>
      <c r="N9" s="37" t="n">
        <v>612000</v>
      </c>
      <c r="O9" s="37" t="n">
        <v>6048000</v>
      </c>
    </row>
    <row r="10">
      <c r="A10" s="32" t="inlineStr">
        <is>
          <t>売上総利益（粗利）</t>
        </is>
      </c>
      <c r="B10" s="33" t="inlineStr">
        <is>
          <t>C=A-B</t>
        </is>
      </c>
      <c r="C10" s="34" t="n">
        <v>940000</v>
      </c>
      <c r="D10" s="34" t="n">
        <v>940000</v>
      </c>
      <c r="E10" s="34" t="n">
        <v>1222000</v>
      </c>
      <c r="F10" s="34" t="n">
        <v>1222000</v>
      </c>
      <c r="G10" s="34" t="n">
        <v>1316000</v>
      </c>
      <c r="H10" s="34" t="n">
        <v>1316000</v>
      </c>
      <c r="I10" s="34" t="n">
        <v>1410000</v>
      </c>
      <c r="J10" s="34" t="n">
        <v>1410000</v>
      </c>
      <c r="K10" s="34" t="n">
        <v>1410000</v>
      </c>
      <c r="L10" s="34" t="n">
        <v>1504000</v>
      </c>
      <c r="M10" s="34" t="n">
        <v>1504000</v>
      </c>
      <c r="N10" s="34" t="n">
        <v>1598000</v>
      </c>
      <c r="O10" s="34" t="n">
        <v>15792000</v>
      </c>
    </row>
    <row r="11">
      <c r="A11" s="29" t="inlineStr">
        <is>
          <t xml:space="preserve">　役員報酬</t>
        </is>
      </c>
      <c r="B11" s="22" t="inlineStr">
        <is>
          <t>固定</t>
        </is>
      </c>
      <c r="C11" s="30" t="n">
        <v>220000</v>
      </c>
      <c r="D11" s="30" t="n">
        <v>220000</v>
      </c>
      <c r="E11" s="30" t="n">
        <v>220000</v>
      </c>
      <c r="F11" s="30" t="n">
        <v>220000</v>
      </c>
      <c r="G11" s="30" t="n">
        <v>220000</v>
      </c>
      <c r="H11" s="30" t="n">
        <v>220000</v>
      </c>
      <c r="I11" s="30" t="n">
        <v>220000</v>
      </c>
      <c r="J11" s="30" t="n">
        <v>220000</v>
      </c>
      <c r="K11" s="30" t="n">
        <v>220000</v>
      </c>
      <c r="L11" s="30" t="n">
        <v>220000</v>
      </c>
      <c r="M11" s="30" t="n">
        <v>220000</v>
      </c>
      <c r="N11" s="30" t="n">
        <v>220000</v>
      </c>
      <c r="O11" s="31" t="n">
        <v>2640000</v>
      </c>
    </row>
    <row r="12">
      <c r="A12" s="29" t="inlineStr">
        <is>
          <t xml:space="preserve">　人件費（バイト）</t>
        </is>
      </c>
      <c r="B12" s="22" t="inlineStr">
        <is>
          <t>変動</t>
        </is>
      </c>
      <c r="C12" s="30" t="n">
        <v>451200</v>
      </c>
      <c r="D12" s="30" t="n">
        <v>534400</v>
      </c>
      <c r="E12" s="30" t="n">
        <v>664200</v>
      </c>
      <c r="F12" s="30" t="n">
        <v>534400</v>
      </c>
      <c r="G12" s="30" t="n">
        <v>534400</v>
      </c>
      <c r="H12" s="30" t="n">
        <v>534400</v>
      </c>
      <c r="I12" s="30" t="n">
        <v>609400</v>
      </c>
      <c r="J12" s="30" t="n">
        <v>609400</v>
      </c>
      <c r="K12" s="30" t="n">
        <v>534400</v>
      </c>
      <c r="L12" s="30" t="n">
        <v>593900</v>
      </c>
      <c r="M12" s="30" t="n">
        <v>534400</v>
      </c>
      <c r="N12" s="30" t="n">
        <v>593900</v>
      </c>
      <c r="O12" s="31" t="n">
        <v>6728400</v>
      </c>
    </row>
    <row r="13">
      <c r="A13" s="29" t="inlineStr">
        <is>
          <t xml:space="preserve">　賃借料</t>
        </is>
      </c>
      <c r="B13" s="22" t="inlineStr">
        <is>
          <t>固定</t>
        </is>
      </c>
      <c r="C13" s="30" t="n">
        <v>300000</v>
      </c>
      <c r="D13" s="30" t="n">
        <v>300000</v>
      </c>
      <c r="E13" s="30" t="n">
        <v>300000</v>
      </c>
      <c r="F13" s="30" t="n">
        <v>300000</v>
      </c>
      <c r="G13" s="30" t="n">
        <v>300000</v>
      </c>
      <c r="H13" s="30" t="n">
        <v>300000</v>
      </c>
      <c r="I13" s="30" t="n">
        <v>300000</v>
      </c>
      <c r="J13" s="30" t="n">
        <v>300000</v>
      </c>
      <c r="K13" s="30" t="n">
        <v>300000</v>
      </c>
      <c r="L13" s="30" t="n">
        <v>300000</v>
      </c>
      <c r="M13" s="30" t="n">
        <v>300000</v>
      </c>
      <c r="N13" s="30" t="n">
        <v>300000</v>
      </c>
      <c r="O13" s="31" t="n">
        <v>3600000</v>
      </c>
    </row>
    <row r="14">
      <c r="A14" s="29" t="inlineStr">
        <is>
          <t xml:space="preserve">　水道光熱費</t>
        </is>
      </c>
      <c r="B14" s="22" t="inlineStr">
        <is>
          <t>固定</t>
        </is>
      </c>
      <c r="C14" s="30" t="n">
        <v>80000</v>
      </c>
      <c r="D14" s="30" t="n">
        <v>80000</v>
      </c>
      <c r="E14" s="30" t="n">
        <v>80000</v>
      </c>
      <c r="F14" s="30" t="n">
        <v>80000</v>
      </c>
      <c r="G14" s="30" t="n">
        <v>80000</v>
      </c>
      <c r="H14" s="30" t="n">
        <v>80000</v>
      </c>
      <c r="I14" s="30" t="n">
        <v>80000</v>
      </c>
      <c r="J14" s="30" t="n">
        <v>80000</v>
      </c>
      <c r="K14" s="30" t="n">
        <v>80000</v>
      </c>
      <c r="L14" s="30" t="n">
        <v>80000</v>
      </c>
      <c r="M14" s="30" t="n">
        <v>80000</v>
      </c>
      <c r="N14" s="30" t="n">
        <v>80000</v>
      </c>
      <c r="O14" s="31" t="n">
        <v>960000</v>
      </c>
    </row>
    <row r="15">
      <c r="A15" s="29" t="inlineStr">
        <is>
          <t xml:space="preserve">　広告宣伝費</t>
        </is>
      </c>
      <c r="B15" s="22" t="inlineStr">
        <is>
          <t>変動</t>
        </is>
      </c>
      <c r="C15" s="30" t="n">
        <v>30000</v>
      </c>
      <c r="D15" s="30" t="n">
        <v>30000</v>
      </c>
      <c r="E15" s="30" t="n">
        <v>20000</v>
      </c>
      <c r="F15" s="30" t="n">
        <v>20000</v>
      </c>
      <c r="G15" s="30" t="n">
        <v>20000</v>
      </c>
      <c r="H15" s="30" t="n">
        <v>10000</v>
      </c>
      <c r="I15" s="30" t="n">
        <v>10000</v>
      </c>
      <c r="J15" s="30" t="n">
        <v>10000</v>
      </c>
      <c r="K15" s="30" t="n">
        <v>10000</v>
      </c>
      <c r="L15" s="30" t="n">
        <v>10000</v>
      </c>
      <c r="M15" s="30" t="n">
        <v>10000</v>
      </c>
      <c r="N15" s="30" t="n">
        <v>10000</v>
      </c>
      <c r="O15" s="31" t="n">
        <v>190000</v>
      </c>
    </row>
    <row r="16">
      <c r="A16" s="29" t="inlineStr">
        <is>
          <t xml:space="preserve">　消耗品・雑費</t>
        </is>
      </c>
      <c r="B16" s="22" t="inlineStr">
        <is>
          <t>変動</t>
        </is>
      </c>
      <c r="C16" s="30" t="n">
        <v>50000</v>
      </c>
      <c r="D16" s="30" t="n">
        <v>50000</v>
      </c>
      <c r="E16" s="30" t="n">
        <v>50000</v>
      </c>
      <c r="F16" s="30" t="n">
        <v>50000</v>
      </c>
      <c r="G16" s="30" t="n">
        <v>50000</v>
      </c>
      <c r="H16" s="30" t="n">
        <v>50000</v>
      </c>
      <c r="I16" s="30" t="n">
        <v>50000</v>
      </c>
      <c r="J16" s="30" t="n">
        <v>50000</v>
      </c>
      <c r="K16" s="30" t="n">
        <v>50000</v>
      </c>
      <c r="L16" s="30" t="n">
        <v>50000</v>
      </c>
      <c r="M16" s="30" t="n">
        <v>50000</v>
      </c>
      <c r="N16" s="30" t="n">
        <v>50000</v>
      </c>
      <c r="O16" s="31" t="n">
        <v>600000</v>
      </c>
    </row>
    <row r="17">
      <c r="A17" s="35" t="inlineStr">
        <is>
          <t>販管費合計</t>
        </is>
      </c>
      <c r="B17" s="36" t="inlineStr">
        <is>
          <t>D</t>
        </is>
      </c>
      <c r="C17" s="37" t="n">
        <v>1131200</v>
      </c>
      <c r="D17" s="37" t="n">
        <v>1214400</v>
      </c>
      <c r="E17" s="37" t="n">
        <v>1334200</v>
      </c>
      <c r="F17" s="37" t="n">
        <v>1204400</v>
      </c>
      <c r="G17" s="37" t="n">
        <v>1204400</v>
      </c>
      <c r="H17" s="37" t="n">
        <v>1194400</v>
      </c>
      <c r="I17" s="37" t="n">
        <v>1269400</v>
      </c>
      <c r="J17" s="37" t="n">
        <v>1269400</v>
      </c>
      <c r="K17" s="37" t="n">
        <v>1194400</v>
      </c>
      <c r="L17" s="37" t="n">
        <v>1253900</v>
      </c>
      <c r="M17" s="37" t="n">
        <v>1194400</v>
      </c>
      <c r="N17" s="37" t="n">
        <v>1253900</v>
      </c>
      <c r="O17" s="37" t="n">
        <v>14718400</v>
      </c>
    </row>
    <row r="18">
      <c r="A18" s="32" t="inlineStr">
        <is>
          <t>営業利益</t>
        </is>
      </c>
      <c r="B18" s="33" t="inlineStr">
        <is>
          <t>E=C-D</t>
        </is>
      </c>
      <c r="C18" s="34" t="n">
        <v>-191200</v>
      </c>
      <c r="D18" s="34" t="n">
        <v>-274400</v>
      </c>
      <c r="E18" s="34" t="n">
        <v>-112200</v>
      </c>
      <c r="F18" s="34" t="n">
        <v>17600</v>
      </c>
      <c r="G18" s="34" t="n">
        <v>111600</v>
      </c>
      <c r="H18" s="34" t="n">
        <v>121600</v>
      </c>
      <c r="I18" s="34" t="n">
        <v>140600</v>
      </c>
      <c r="J18" s="34" t="n">
        <v>140600</v>
      </c>
      <c r="K18" s="34" t="n">
        <v>215600</v>
      </c>
      <c r="L18" s="34" t="n">
        <v>250100</v>
      </c>
      <c r="M18" s="34" t="n">
        <v>309600</v>
      </c>
      <c r="N18" s="34" t="n">
        <v>344100</v>
      </c>
      <c r="O18" s="34" t="n">
        <v>1073600</v>
      </c>
    </row>
    <row r="19">
      <c r="A19" s="29" t="inlineStr">
        <is>
          <t xml:space="preserve">　支払利息</t>
        </is>
      </c>
      <c r="B19" s="22" t="inlineStr"/>
      <c r="C19" s="30" t="n">
        <v>15000</v>
      </c>
      <c r="D19" s="30" t="n">
        <v>15000</v>
      </c>
      <c r="E19" s="30" t="n">
        <v>15000</v>
      </c>
      <c r="F19" s="30" t="n">
        <v>15000</v>
      </c>
      <c r="G19" s="30" t="n">
        <v>15000</v>
      </c>
      <c r="H19" s="30" t="n">
        <v>15000</v>
      </c>
      <c r="I19" s="30" t="n">
        <v>15000</v>
      </c>
      <c r="J19" s="30" t="n">
        <v>15000</v>
      </c>
      <c r="K19" s="30" t="n">
        <v>15000</v>
      </c>
      <c r="L19" s="30" t="n">
        <v>15000</v>
      </c>
      <c r="M19" s="30" t="n">
        <v>15000</v>
      </c>
      <c r="N19" s="30" t="n">
        <v>15000</v>
      </c>
      <c r="O19" s="31" t="n">
        <v>180000</v>
      </c>
    </row>
    <row r="20">
      <c r="A20" s="38" t="inlineStr">
        <is>
          <t>経常利益</t>
        </is>
      </c>
      <c r="B20" s="39" t="inlineStr">
        <is>
          <t>F=E-支払利息</t>
        </is>
      </c>
      <c r="C20" s="40" t="n">
        <v>-206200</v>
      </c>
      <c r="D20" s="40" t="n">
        <v>-289400</v>
      </c>
      <c r="E20" s="40" t="n">
        <v>-127200</v>
      </c>
      <c r="F20" s="40" t="n">
        <v>2600</v>
      </c>
      <c r="G20" s="40" t="n">
        <v>96600</v>
      </c>
      <c r="H20" s="40" t="n">
        <v>106600</v>
      </c>
      <c r="I20" s="40" t="n">
        <v>125600</v>
      </c>
      <c r="J20" s="40" t="n">
        <v>125600</v>
      </c>
      <c r="K20" s="40" t="n">
        <v>200600</v>
      </c>
      <c r="L20" s="40" t="n">
        <v>235100</v>
      </c>
      <c r="M20" s="40" t="n">
        <v>294600</v>
      </c>
      <c r="N20" s="40" t="n">
        <v>329100</v>
      </c>
      <c r="O20" s="40" t="n">
        <v>893600</v>
      </c>
    </row>
  </sheetData>
  <mergeCells count="2">
    <mergeCell ref="A1:O1"/>
    <mergeCell ref="M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■ 年次損益計画書（3ヵ年）</t>
        </is>
      </c>
    </row>
    <row r="2">
      <c r="G2" s="28" t="inlineStr">
        <is>
          <t>（単位／千円）</t>
        </is>
      </c>
    </row>
    <row r="3" ht="30" customHeight="1">
      <c r="A3" s="41" t="inlineStr">
        <is>
          <t>項目</t>
        </is>
      </c>
      <c r="B3" s="41" t="inlineStr">
        <is>
          <t>区分</t>
        </is>
      </c>
      <c r="C3" s="41" t="inlineStr">
        <is>
          <t>1年目
金額</t>
        </is>
      </c>
      <c r="D3" s="41" t="inlineStr">
        <is>
          <t>1年目
構成比</t>
        </is>
      </c>
      <c r="E3" s="41" t="inlineStr">
        <is>
          <t>2年目
金額</t>
        </is>
      </c>
      <c r="F3" s="41" t="inlineStr">
        <is>
          <t>2年目
構成比</t>
        </is>
      </c>
      <c r="G3" s="41" t="inlineStr">
        <is>
          <t>3年目
金額</t>
        </is>
      </c>
      <c r="H3" s="41" t="inlineStr">
        <is>
          <t>3年目
構成比</t>
        </is>
      </c>
      <c r="I3" s="41" t="inlineStr">
        <is>
          <t>備考</t>
        </is>
      </c>
    </row>
    <row r="4">
      <c r="A4" s="29" t="inlineStr">
        <is>
          <t xml:space="preserve">　シーシャ売上</t>
        </is>
      </c>
      <c r="B4" s="22" t="inlineStr"/>
      <c r="C4" s="30" t="n">
        <v>15000</v>
      </c>
      <c r="D4" s="22" t="inlineStr"/>
      <c r="E4" s="30" t="n">
        <v>18000</v>
      </c>
      <c r="F4" s="22" t="inlineStr"/>
      <c r="G4" s="30" t="n">
        <v>20000</v>
      </c>
      <c r="H4" s="22" t="inlineStr"/>
      <c r="I4" s="42" t="inlineStr"/>
    </row>
    <row r="5">
      <c r="A5" s="29" t="inlineStr">
        <is>
          <t xml:space="preserve">　ドリンク売上</t>
        </is>
      </c>
      <c r="B5" s="22" t="inlineStr"/>
      <c r="C5" s="30" t="n">
        <v>4500</v>
      </c>
      <c r="D5" s="22" t="inlineStr"/>
      <c r="E5" s="30" t="n">
        <v>5400</v>
      </c>
      <c r="F5" s="22" t="inlineStr"/>
      <c r="G5" s="30" t="n">
        <v>6000</v>
      </c>
      <c r="H5" s="22" t="inlineStr"/>
      <c r="I5" s="42" t="inlineStr"/>
    </row>
    <row r="6">
      <c r="A6" s="32" t="inlineStr">
        <is>
          <t>売上合計</t>
        </is>
      </c>
      <c r="B6" s="33" t="inlineStr">
        <is>
          <t>A</t>
        </is>
      </c>
      <c r="C6" s="34" t="n">
        <v>19500</v>
      </c>
      <c r="D6" s="33" t="inlineStr">
        <is>
          <t>100.0%</t>
        </is>
      </c>
      <c r="E6" s="34" t="n">
        <v>23400</v>
      </c>
      <c r="F6" s="33" t="inlineStr">
        <is>
          <t>100.0%</t>
        </is>
      </c>
      <c r="G6" s="34" t="n">
        <v>26000</v>
      </c>
      <c r="H6" s="33" t="inlineStr">
        <is>
          <t>100.0%</t>
        </is>
      </c>
      <c r="I6" s="43" t="inlineStr"/>
    </row>
    <row r="7">
      <c r="A7" s="35" t="inlineStr">
        <is>
          <t>売上原価</t>
        </is>
      </c>
      <c r="B7" s="36" t="inlineStr">
        <is>
          <t>B</t>
        </is>
      </c>
      <c r="C7" s="37" t="n">
        <v>5265</v>
      </c>
      <c r="D7" s="36" t="inlineStr"/>
      <c r="E7" s="37" t="n">
        <v>6318</v>
      </c>
      <c r="F7" s="36" t="inlineStr"/>
      <c r="G7" s="37" t="n">
        <v>7020</v>
      </c>
      <c r="H7" s="36" t="inlineStr"/>
      <c r="I7" s="44" t="inlineStr">
        <is>
          <t>原価率27%（シーシャ30%・ドリンク20%）</t>
        </is>
      </c>
    </row>
    <row r="8">
      <c r="A8" s="32" t="inlineStr">
        <is>
          <t>売上総利益</t>
        </is>
      </c>
      <c r="B8" s="33" t="inlineStr">
        <is>
          <t>C=A-B</t>
        </is>
      </c>
      <c r="C8" s="34" t="n">
        <v>14235</v>
      </c>
      <c r="D8" s="33" t="inlineStr"/>
      <c r="E8" s="34" t="n">
        <v>17082</v>
      </c>
      <c r="F8" s="33" t="inlineStr"/>
      <c r="G8" s="34" t="n">
        <v>18980</v>
      </c>
      <c r="H8" s="33" t="inlineStr"/>
      <c r="I8" s="43" t="inlineStr"/>
    </row>
    <row r="9">
      <c r="A9" s="29" t="inlineStr">
        <is>
          <t xml:space="preserve">　役員報酬</t>
        </is>
      </c>
      <c r="B9" s="22" t="inlineStr">
        <is>
          <t>固定</t>
        </is>
      </c>
      <c r="C9" s="30" t="n">
        <v>2640</v>
      </c>
      <c r="D9" s="22" t="inlineStr"/>
      <c r="E9" s="30" t="n">
        <v>2640</v>
      </c>
      <c r="F9" s="22" t="inlineStr"/>
      <c r="G9" s="30" t="n">
        <v>2640</v>
      </c>
      <c r="H9" s="22" t="inlineStr"/>
      <c r="I9" s="42" t="inlineStr">
        <is>
          <t>月22万円×12ヶ月</t>
        </is>
      </c>
    </row>
    <row r="10">
      <c r="A10" s="29" t="inlineStr">
        <is>
          <t xml:space="preserve">　人件費（バイト）</t>
        </is>
      </c>
      <c r="B10" s="22" t="inlineStr">
        <is>
          <t>変動</t>
        </is>
      </c>
      <c r="C10" s="30" t="n">
        <v>6864</v>
      </c>
      <c r="D10" s="22" t="inlineStr"/>
      <c r="E10" s="30" t="n">
        <v>7200</v>
      </c>
      <c r="F10" s="22" t="inlineStr"/>
      <c r="G10" s="30" t="n">
        <v>7200</v>
      </c>
      <c r="H10" s="22" t="inlineStr"/>
      <c r="I10" s="42" t="inlineStr">
        <is>
          <t>月平均57万円</t>
        </is>
      </c>
    </row>
    <row r="11">
      <c r="A11" s="29" t="inlineStr">
        <is>
          <t xml:space="preserve">　賃借料</t>
        </is>
      </c>
      <c r="B11" s="22" t="inlineStr">
        <is>
          <t>固定</t>
        </is>
      </c>
      <c r="C11" s="30" t="n">
        <v>3600</v>
      </c>
      <c r="D11" s="22" t="inlineStr"/>
      <c r="E11" s="30" t="n">
        <v>3600</v>
      </c>
      <c r="F11" s="22" t="inlineStr"/>
      <c r="G11" s="30" t="n">
        <v>3600</v>
      </c>
      <c r="H11" s="22" t="inlineStr"/>
      <c r="I11" s="42" t="inlineStr">
        <is>
          <t>月30万円×12ヶ月</t>
        </is>
      </c>
    </row>
    <row r="12">
      <c r="A12" s="29" t="inlineStr">
        <is>
          <t xml:space="preserve">　水道光熱費</t>
        </is>
      </c>
      <c r="B12" s="22" t="inlineStr">
        <is>
          <t>固定</t>
        </is>
      </c>
      <c r="C12" s="30" t="n">
        <v>960</v>
      </c>
      <c r="D12" s="22" t="inlineStr"/>
      <c r="E12" s="30" t="n">
        <v>960</v>
      </c>
      <c r="F12" s="22" t="inlineStr"/>
      <c r="G12" s="30" t="n">
        <v>960</v>
      </c>
      <c r="H12" s="22" t="inlineStr"/>
      <c r="I12" s="42" t="inlineStr">
        <is>
          <t>月8万円×12ヶ月</t>
        </is>
      </c>
    </row>
    <row r="13">
      <c r="A13" s="29" t="inlineStr">
        <is>
          <t xml:space="preserve">　広告宣伝費</t>
        </is>
      </c>
      <c r="B13" s="22" t="inlineStr">
        <is>
          <t>変動</t>
        </is>
      </c>
      <c r="C13" s="30" t="n">
        <v>240</v>
      </c>
      <c r="D13" s="22" t="inlineStr"/>
      <c r="E13" s="30" t="n">
        <v>180</v>
      </c>
      <c r="F13" s="22" t="inlineStr"/>
      <c r="G13" s="30" t="n">
        <v>120</v>
      </c>
      <c r="H13" s="22" t="inlineStr"/>
      <c r="I13" s="42" t="inlineStr"/>
    </row>
    <row r="14">
      <c r="A14" s="29" t="inlineStr">
        <is>
          <t xml:space="preserve">　消耗品・雑費</t>
        </is>
      </c>
      <c r="B14" s="22" t="inlineStr">
        <is>
          <t>変動</t>
        </is>
      </c>
      <c r="C14" s="30" t="n">
        <v>600</v>
      </c>
      <c r="D14" s="22" t="inlineStr"/>
      <c r="E14" s="30" t="n">
        <v>600</v>
      </c>
      <c r="F14" s="22" t="inlineStr"/>
      <c r="G14" s="30" t="n">
        <v>600</v>
      </c>
      <c r="H14" s="22" t="inlineStr"/>
      <c r="I14" s="42" t="inlineStr"/>
    </row>
    <row r="15">
      <c r="A15" s="35" t="inlineStr">
        <is>
          <t>販管費合計</t>
        </is>
      </c>
      <c r="B15" s="36" t="inlineStr">
        <is>
          <t>D</t>
        </is>
      </c>
      <c r="C15" s="37" t="n">
        <v>14904</v>
      </c>
      <c r="D15" s="36" t="inlineStr">
        <is>
          <t>100.0%</t>
        </is>
      </c>
      <c r="E15" s="37" t="n">
        <v>15180</v>
      </c>
      <c r="F15" s="36" t="inlineStr">
        <is>
          <t>100.0%</t>
        </is>
      </c>
      <c r="G15" s="37" t="n">
        <v>15120</v>
      </c>
      <c r="H15" s="36" t="inlineStr">
        <is>
          <t>100.0%</t>
        </is>
      </c>
      <c r="I15" s="44" t="inlineStr"/>
    </row>
    <row r="16">
      <c r="A16" s="32" t="inlineStr">
        <is>
          <t>営業利益</t>
        </is>
      </c>
      <c r="B16" s="33" t="inlineStr">
        <is>
          <t>E=C-D</t>
        </is>
      </c>
      <c r="C16" s="34" t="n">
        <v>-669</v>
      </c>
      <c r="D16" s="33" t="inlineStr"/>
      <c r="E16" s="34" t="n">
        <v>1902</v>
      </c>
      <c r="F16" s="33" t="inlineStr"/>
      <c r="G16" s="34" t="n">
        <v>3860</v>
      </c>
      <c r="H16" s="33" t="inlineStr"/>
      <c r="I16" s="43" t="inlineStr"/>
    </row>
    <row r="17">
      <c r="A17" s="29" t="inlineStr">
        <is>
          <t xml:space="preserve">　支払利息</t>
        </is>
      </c>
      <c r="B17" s="22" t="inlineStr"/>
      <c r="C17" s="30" t="n">
        <v>180</v>
      </c>
      <c r="D17" s="22" t="inlineStr"/>
      <c r="E17" s="30" t="n">
        <v>162</v>
      </c>
      <c r="F17" s="22" t="inlineStr"/>
      <c r="G17" s="30" t="n">
        <v>144</v>
      </c>
      <c r="H17" s="22" t="inlineStr"/>
      <c r="I17" s="42" t="inlineStr">
        <is>
          <t>700万×2.5%（元本逓減）</t>
        </is>
      </c>
    </row>
    <row r="18">
      <c r="A18" s="38" t="inlineStr">
        <is>
          <t>経常利益</t>
        </is>
      </c>
      <c r="B18" s="39" t="inlineStr">
        <is>
          <t>F</t>
        </is>
      </c>
      <c r="C18" s="40" t="n">
        <v>-849</v>
      </c>
      <c r="D18" s="39" t="inlineStr"/>
      <c r="E18" s="40" t="n">
        <v>1740</v>
      </c>
      <c r="F18" s="39" t="inlineStr"/>
      <c r="G18" s="40" t="n">
        <v>3716</v>
      </c>
      <c r="H18" s="39" t="inlineStr"/>
      <c r="I18" s="45" t="inlineStr"/>
    </row>
    <row r="20">
      <c r="A20" s="2" t="inlineStr">
        <is>
          <t>【参考指標】</t>
        </is>
      </c>
    </row>
    <row r="21">
      <c r="A21" s="46" t="inlineStr">
        <is>
          <t>原価率（目標30%以下）</t>
        </is>
      </c>
      <c r="C21" s="47" t="inlineStr">
        <is>
          <t>27.0%</t>
        </is>
      </c>
      <c r="E21" s="47" t="inlineStr">
        <is>
          <t>27.0%</t>
        </is>
      </c>
      <c r="G21" s="47" t="inlineStr">
        <is>
          <t>27.0%</t>
        </is>
      </c>
    </row>
    <row r="22">
      <c r="A22" s="46" t="inlineStr">
        <is>
          <t>実質人件費率（目標55%以内）</t>
        </is>
      </c>
      <c r="C22" s="47" t="inlineStr">
        <is>
          <t>48.7%</t>
        </is>
      </c>
      <c r="E22" s="47" t="inlineStr">
        <is>
          <t>42.1%</t>
        </is>
      </c>
      <c r="G22" s="47" t="inlineStr">
        <is>
          <t>37.8%</t>
        </is>
      </c>
    </row>
    <row r="23">
      <c r="A23" s="46" t="inlineStr">
        <is>
          <t>損益分岐点売上高</t>
        </is>
      </c>
      <c r="C23" s="47" t="inlineStr">
        <is>
          <t>2042万円</t>
        </is>
      </c>
      <c r="E23" s="47" t="inlineStr">
        <is>
          <t>2079万円</t>
        </is>
      </c>
      <c r="G23" s="47" t="inlineStr">
        <is>
          <t>2071万円</t>
        </is>
      </c>
    </row>
    <row r="24">
      <c r="A24" s="46" t="inlineStr">
        <is>
          <t>借入返済額（年）</t>
        </is>
      </c>
      <c r="C24" s="47" t="inlineStr">
        <is>
          <t>840万円</t>
        </is>
      </c>
      <c r="E24" s="47" t="inlineStr">
        <is>
          <t>840万円</t>
        </is>
      </c>
      <c r="G24" s="47" t="inlineStr">
        <is>
          <t>840万円</t>
        </is>
      </c>
    </row>
    <row r="25">
      <c r="A25" s="46" t="inlineStr">
        <is>
          <t>本返済後手残り（概算）</t>
        </is>
      </c>
      <c r="C25" s="47" t="inlineStr">
        <is>
          <t>-925万円</t>
        </is>
      </c>
      <c r="E25" s="47" t="inlineStr">
        <is>
          <t>-666万円</t>
        </is>
      </c>
      <c r="G25" s="47" t="inlineStr">
        <is>
          <t>-468万円</t>
        </is>
      </c>
    </row>
  </sheetData>
  <mergeCells count="2">
    <mergeCell ref="G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2026-04-10T22:20:13Z</dcterms:created>
  <dcterms:modified xsi:type="dcterms:W3CDTF">2026-04-10T22:20:14Z</dcterms:modified>
</cp:coreProperties>
</file>